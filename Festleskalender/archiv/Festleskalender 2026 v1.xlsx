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rnhard/Library/Mobile Documents/iCloud~md~obsidian/Documents/Privat/Festleskalender/"/>
    </mc:Choice>
  </mc:AlternateContent>
  <xr:revisionPtr revIDLastSave="0" documentId="13_ncr:1_{4FDE1856-310F-154D-BCC0-EFBDB5B62E92}" xr6:coauthVersionLast="47" xr6:coauthVersionMax="47" xr10:uidLastSave="{00000000-0000-0000-0000-000000000000}"/>
  <bookViews>
    <workbookView xWindow="13760" yWindow="640" windowWidth="37840" windowHeight="19460" xr2:uid="{00000000-000D-0000-FFFF-FFFF00000000}"/>
  </bookViews>
  <sheets>
    <sheet name="Feste" sheetId="1" r:id="rId1"/>
    <sheet name="Quellen" sheetId="3" r:id="rId2"/>
  </sheets>
  <definedNames>
    <definedName name="_xlnm.Print_Area" localSheetId="0">Feste!$A$1:$F$189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2" i="1" l="1"/>
  <c r="C8" i="1"/>
  <c r="C7" i="1"/>
  <c r="C126" i="1"/>
  <c r="C125" i="1"/>
  <c r="C118" i="1"/>
  <c r="C141" i="1"/>
  <c r="C130" i="1"/>
  <c r="C135" i="1"/>
  <c r="C138" i="1"/>
  <c r="C115" i="1"/>
  <c r="C74" i="1"/>
  <c r="C67" i="1"/>
  <c r="C61" i="1"/>
  <c r="C164" i="1"/>
  <c r="C110" i="1"/>
  <c r="C89" i="1"/>
  <c r="C50" i="1"/>
  <c r="C42" i="1"/>
  <c r="C181" i="1"/>
  <c r="C38" i="1"/>
  <c r="C16" i="1"/>
  <c r="C146" i="1"/>
  <c r="C58" i="1"/>
  <c r="C78" i="1"/>
  <c r="C109" i="1"/>
  <c r="C76" i="1"/>
  <c r="C108" i="1"/>
  <c r="C75" i="1"/>
  <c r="C23" i="1"/>
  <c r="C17" i="1"/>
  <c r="C26" i="1"/>
  <c r="C25" i="1"/>
  <c r="C28" i="1"/>
  <c r="C31" i="1"/>
  <c r="C43" i="1"/>
  <c r="C39" i="1"/>
  <c r="C34" i="1"/>
  <c r="C36" i="1"/>
  <c r="C47" i="1"/>
  <c r="C44" i="1"/>
  <c r="C62" i="1"/>
  <c r="C64" i="1"/>
  <c r="C57" i="1"/>
  <c r="C60" i="1"/>
  <c r="C59" i="1"/>
  <c r="C66" i="1"/>
  <c r="C56" i="1"/>
  <c r="C55" i="1"/>
  <c r="C40" i="1"/>
  <c r="C183" i="1"/>
  <c r="C162" i="1"/>
  <c r="C147" i="1"/>
  <c r="C123" i="1"/>
  <c r="C97" i="1"/>
  <c r="C69" i="1"/>
  <c r="C48" i="1"/>
  <c r="C30" i="1"/>
  <c r="C22" i="1"/>
  <c r="C24" i="1"/>
  <c r="C27" i="1"/>
  <c r="C29" i="1"/>
  <c r="C33" i="1"/>
  <c r="C32" i="1"/>
  <c r="C37" i="1"/>
  <c r="C45" i="1"/>
  <c r="C46" i="1"/>
  <c r="C49" i="1"/>
  <c r="C51" i="1"/>
  <c r="C52" i="1"/>
  <c r="C53" i="1"/>
  <c r="C54" i="1"/>
  <c r="C63" i="1"/>
  <c r="C68" i="1"/>
  <c r="C70" i="1"/>
  <c r="C71" i="1"/>
  <c r="C72" i="1"/>
  <c r="C73" i="1"/>
  <c r="C79" i="1"/>
  <c r="C80" i="1"/>
  <c r="C84" i="1"/>
  <c r="C81" i="1"/>
  <c r="C83" i="1"/>
  <c r="C85" i="1"/>
  <c r="C82" i="1"/>
  <c r="C88" i="1"/>
  <c r="C86" i="1"/>
  <c r="C87" i="1"/>
  <c r="C94" i="1"/>
  <c r="C95" i="1"/>
  <c r="C92" i="1"/>
  <c r="C93" i="1"/>
  <c r="C98" i="1"/>
  <c r="C91" i="1"/>
  <c r="C100" i="1"/>
  <c r="C101" i="1"/>
  <c r="C102" i="1"/>
  <c r="C104" i="1"/>
  <c r="C105" i="1"/>
  <c r="C107" i="1"/>
  <c r="C113" i="1"/>
  <c r="C114" i="1"/>
  <c r="C117" i="1"/>
  <c r="C116" i="1"/>
  <c r="C119" i="1"/>
  <c r="C133" i="1"/>
  <c r="C120" i="1"/>
  <c r="C124" i="1"/>
  <c r="C128" i="1"/>
  <c r="C129" i="1"/>
  <c r="C134" i="1"/>
  <c r="C132" i="1"/>
  <c r="C131" i="1"/>
  <c r="C139" i="1"/>
  <c r="C99" i="1"/>
  <c r="C136" i="1"/>
  <c r="C143" i="1"/>
  <c r="C137" i="1"/>
  <c r="C140" i="1"/>
  <c r="C142" i="1"/>
  <c r="C144" i="1"/>
  <c r="C145" i="1"/>
  <c r="C148" i="1"/>
  <c r="C150" i="1"/>
  <c r="C149" i="1"/>
  <c r="C151" i="1"/>
  <c r="C152" i="1"/>
  <c r="C153" i="1"/>
  <c r="C157" i="1"/>
  <c r="C158" i="1"/>
  <c r="C159" i="1"/>
  <c r="C160" i="1"/>
  <c r="C163" i="1"/>
  <c r="C173" i="1"/>
  <c r="C165" i="1"/>
  <c r="C166" i="1"/>
  <c r="C167" i="1"/>
  <c r="C170" i="1"/>
  <c r="C169" i="1"/>
  <c r="C186" i="1"/>
  <c r="C188" i="1"/>
  <c r="C175" i="1"/>
  <c r="C179" i="1"/>
  <c r="C180" i="1"/>
  <c r="C178" i="1"/>
  <c r="C176" i="1"/>
  <c r="C187" i="1"/>
  <c r="C177" i="1"/>
  <c r="C185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15" i="1"/>
  <c r="C19" i="1"/>
  <c r="C18" i="1"/>
  <c r="C2" i="1"/>
  <c r="C10" i="1"/>
  <c r="C11" i="1"/>
  <c r="C12" i="1"/>
  <c r="C13" i="1"/>
  <c r="C6" i="1"/>
  <c r="C3" i="1"/>
  <c r="C209" i="1"/>
  <c r="C9" i="1"/>
  <c r="C5" i="1"/>
  <c r="C4" i="1"/>
</calcChain>
</file>

<file path=xl/sharedStrings.xml><?xml version="1.0" encoding="utf-8"?>
<sst xmlns="http://schemas.openxmlformats.org/spreadsheetml/2006/main" count="237" uniqueCount="227">
  <si>
    <t>Stuttgarter Frühlingsfest</t>
  </si>
  <si>
    <t>Backnanger Straßenfest</t>
  </si>
  <si>
    <t>KW</t>
  </si>
  <si>
    <t>Datum</t>
  </si>
  <si>
    <t>Mittelalter-Spektakel zu Bietigheim Buch</t>
  </si>
  <si>
    <t>Stadtfeiertag mit Mittelaltermarkt Kirchberg an der Jagst (1:05 H Anfahrt)</t>
  </si>
  <si>
    <t>Jahr</t>
  </si>
  <si>
    <t>Mittelalterlicher Jahrmarkt Mannheim im Herzogenriedpark</t>
  </si>
  <si>
    <t>Barocke Gartentage Ludwigsburg</t>
  </si>
  <si>
    <t>Mittelaltermarkt zu 69226 Nußloch (1:10 h Fahrt)</t>
  </si>
  <si>
    <t>Leuchtende Traumpfade Blühendes Barock</t>
  </si>
  <si>
    <t>Filderkrautfest Leinfelden-Echterdingen</t>
  </si>
  <si>
    <t>Esslinger Mittelalter und Weihnachtsmarkt</t>
  </si>
  <si>
    <t>Ludwigsburger Barock-Weihnachtsmarkt 11-21 Uhr</t>
  </si>
  <si>
    <t>Fellbacher Herbst (immer am 2.Wochenende im Oktober)</t>
  </si>
  <si>
    <t>Historischer Markt Großbottwar</t>
  </si>
  <si>
    <t>Ludwigsburger Antikmeile</t>
  </si>
  <si>
    <t>Feuerseefest Stuttgart</t>
  </si>
  <si>
    <t>Gerlinger Straßenfest</t>
  </si>
  <si>
    <t>Pferdemarkt Bietigheim</t>
  </si>
  <si>
    <t>Glemseck 101 Leonberg Motorradtreff</t>
  </si>
  <si>
    <t>Markgröninger Schäferlauf</t>
  </si>
  <si>
    <t>Ludwigsburger Weinlaube</t>
  </si>
  <si>
    <t>Estival Esslingen</t>
  </si>
  <si>
    <t>Umsonst und Draußen Stuttgart</t>
  </si>
  <si>
    <t>Sommerfestival der Kulturen Stuttgart (Eintritt frei)</t>
  </si>
  <si>
    <t>Lichterfest Stuttgart im Höhenpark Killesberg</t>
  </si>
  <si>
    <t>Bohnenviertelfest Stuttgart (Eintritt frei)</t>
  </si>
  <si>
    <t>Schwörfest Esslingen</t>
  </si>
  <si>
    <t>Horber Ritterspiele (1 Stunde Fahrt)</t>
  </si>
  <si>
    <t>Reutlingen - Mittelalterlicher Markt zum Schwörtag (56 min Fahrt)</t>
  </si>
  <si>
    <t>Hamburger Fischmarkt auf dem Karlsplatz in Stuttgart</t>
  </si>
  <si>
    <t>Ludwigsburger Pferdemarkt</t>
  </si>
  <si>
    <t>Lichterzauber Feuerwerk Blühendes Barock</t>
  </si>
  <si>
    <t>Italienischer Markt Heilbronn</t>
  </si>
  <si>
    <t>https://www.heilbronn.de/tourismus/veranstaltungen/veranstaltungskalender/veranstaltung/lebensart-heilbronner-gartentraeume.html</t>
  </si>
  <si>
    <t>Heibronner Volksfest (Theresienstr. 44)</t>
  </si>
  <si>
    <t>https://www.heilbronn.de/tourismus/veranstaltungen/veranstaltungskalender/veranstaltung/kultursamstag-das-festival-juli.html</t>
  </si>
  <si>
    <t>Straßenkunst-Festival „KulturSamstag“ Heilbronn Innenstadt</t>
  </si>
  <si>
    <t>Heilbronner Herbstmesse 10-18 Uhr Theresienwiese, 300 Aussteller</t>
  </si>
  <si>
    <t>https://www.heilbronn.de/tourismus/veranstaltungen/veranstaltungskalender/veranstaltung/heilbronner-herbstmesse-2024-120540.html</t>
  </si>
  <si>
    <t>Heilbronner Hafenmarkt - Töpfer und Ton, Fr 13-18; Sa/So 11-18h; Innenstadt</t>
  </si>
  <si>
    <t>Jazz &amp; Einkauf mit SonntagsShopping Heilbronn Innenstadt 13-18h</t>
  </si>
  <si>
    <t>https://www.heilbronn.de/tourismus/veranstaltungen/veranstaltungskalender/veranstaltung/heilbronner-pferdemarkt-78839.html</t>
  </si>
  <si>
    <t>Heilbronner Pferdemarkt - Innenstadt 11-18h</t>
  </si>
  <si>
    <t>Heilbronner Maifest Theresienwiese</t>
  </si>
  <si>
    <t>https://www.heilbronn.de/tourismus/veranstaltungen/veranstaltungskalender/veranstaltung/heilbronner-maifest.html</t>
  </si>
  <si>
    <t>Neckarremser Straßenfest</t>
  </si>
  <si>
    <t>Remsecker Marktplatzfest</t>
  </si>
  <si>
    <t>40 min über A81/8</t>
  </si>
  <si>
    <t>Rohrer Seefest (Rohrer Park, Schönbuchstraße 14; 70565 Stuttgart)</t>
  </si>
  <si>
    <t>Lauter billiger Rock/Heavy, Schweinehalsbrötchen, Creps, Schimpf-lecker</t>
  </si>
  <si>
    <t>Konstanzer Stadtgartenfest (tgl. ab 16 Uhr)</t>
  </si>
  <si>
    <t>Konstanzer Seenachtfest (Einlass ab 14 Uhr, Program ab 15 Uhr)</t>
  </si>
  <si>
    <t>Internationales Straßenmusikfestival BlüBa LB</t>
  </si>
  <si>
    <t>Musikfeuerwerk BlüBa (16 Euro pP)</t>
  </si>
  <si>
    <t>Kürbisaustellung BlüBa</t>
  </si>
  <si>
    <t>Ochsenfest Popenweiler</t>
  </si>
  <si>
    <t>http://ochsenfest.com/</t>
  </si>
  <si>
    <t>Esslinger Herbst (mit Verkaufsoffener Sonntag 12-17 Uhr)</t>
  </si>
  <si>
    <t>Latin Festival, Wangen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</si>
  <si>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</si>
  <si>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</si>
  <si>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</si>
  <si>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</si>
  <si>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</si>
  <si>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</si>
  <si>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</si>
  <si>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</si>
  <si>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</si>
  <si>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</si>
  <si>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</si>
  <si>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</si>
  <si>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Christmas Garden, Wilhelma</t>
  </si>
  <si>
    <t>Weltweihnachtscircus, Cannstatter Wasen</t>
  </si>
  <si>
    <t>Nürtinger Weihnachtsmarkt, Innenstadt (11-20 Uhr, Fr + Sa 11-21 Uhr)</t>
  </si>
  <si>
    <t>Käthchen Heilbronner Weihnachtsmarkt, Innenstadt mit Kunsthandwerk + Gastro</t>
  </si>
  <si>
    <t>Weihnachtsmarkt in der Altstadt, Calw (Do 15-21 Uhr, Fr+Sa 11-21 Uhr, So 11-18 Uhr)</t>
  </si>
  <si>
    <t>Plochinger Weihnachtsmarkt (Fr 17-21 Uhr, Sa 13-21 Uhr, So 11-19 Uhr)</t>
  </si>
  <si>
    <t>Festleskalender 2025</t>
  </si>
  <si>
    <t>Weindorf am Breitenauer See</t>
  </si>
  <si>
    <t>43 min Anfahrt bei Heilbronn; Karten 4,50 Euro</t>
  </si>
  <si>
    <t>www.weinamsee.net</t>
  </si>
  <si>
    <t>Nur So: Backnanger Tulpenfrühling in der Innenstadt</t>
  </si>
  <si>
    <t>Nagolder Gartenmesse und Keramika mit Wochen- und Bauernmarkt</t>
  </si>
  <si>
    <t>1 h Fahrt</t>
  </si>
  <si>
    <t>Bernhard Mopedtour</t>
  </si>
  <si>
    <t>Marion Städtetour</t>
  </si>
  <si>
    <t>M &amp; B in Konstanz</t>
  </si>
  <si>
    <t>Silko und Bernhard in Schottland</t>
  </si>
  <si>
    <t>M &amp; B auf Grand Canaria</t>
  </si>
  <si>
    <t>Böblingen Motorworld - Oltimertreffen 11-17h</t>
  </si>
  <si>
    <t>Böblinger Stadtfest (Innenstadt)</t>
  </si>
  <si>
    <t>Böblingen Motorworld - Overland &amp; Vanlife Treffen</t>
  </si>
  <si>
    <t>Schlemmen am See - Elbenplatz Böblingen</t>
  </si>
  <si>
    <t>Böblingen Motorworld - American Power US Cars &amp; Bikes</t>
  </si>
  <si>
    <t>Landpartie auf Schloss Monrepos - 150 Aussteller, auch Essen, Livemusik Sour/Jazz Eintritt 25E/VVK20E (10-19h, So 11-18h)</t>
  </si>
  <si>
    <t>https://erlebnis-monrepos.de/event_landpartie_2025.html</t>
  </si>
  <si>
    <t>https://www.fischmarkt.events/stuttgart/</t>
  </si>
  <si>
    <t xml:space="preserve"> </t>
  </si>
  <si>
    <t>https://www.stadtwerke-lichterfestival.de/de/home/</t>
  </si>
  <si>
    <t>https://www.ud-stuttgart.de</t>
  </si>
  <si>
    <t>Weindorf Stuttgart</t>
  </si>
  <si>
    <t>Cannstadter Volksfest</t>
  </si>
  <si>
    <t>kulinart Stuttgart</t>
  </si>
  <si>
    <t>https://www.glemseck101.de</t>
  </si>
  <si>
    <t>https://www.adticket.de/Mittelalter-Spektakel-zu-ULM-Kloster-Wiblingen/Ulm-Kloster-Wiblingen/01-06-2025_10-00.html</t>
  </si>
  <si>
    <t>Mittelaltermarkt und Zeitreise zu Ulm (Kloster Wiblingen) 16 Euro</t>
  </si>
  <si>
    <t>noch kein Termin; Stuttgarter Sommerfest (Immer Anfang August)</t>
  </si>
  <si>
    <t>HerzensMai’le Bietigheim 11-18h</t>
  </si>
  <si>
    <t>Heilbronner Lichterfest am Neckar 18-24h um 23:15 Lasershow)</t>
  </si>
  <si>
    <t>Lebensart - Heilbronner Gartenträume - Untere Neckarstraße "Neckarmeile"</t>
  </si>
  <si>
    <t>Steillagentage Stuttgart Mühlhausen</t>
  </si>
  <si>
    <t>https://www.afrikafestival-stuttgart.de</t>
  </si>
  <si>
    <t>Afrika Festival Stuttgart Süd (Eintritt frei) Erwin-Schoettle Platz, Stuttgart Süd (Heslach)</t>
  </si>
  <si>
    <t>https://www.fabula-corvinus.de/veranstaltungen-2025/72764-reutlingen-mittelalterlicher-markt-zu-reutlingen-im-rahmen-des-schw%C3%B6rtags/#:~:text=vom%2011.07.,und%20Lager%20zu%20sehen%20geben.</t>
  </si>
  <si>
    <t>https://www.stadt-remseck.de/termin/Open-Air-Poetry-Slam-event-appointment10030</t>
  </si>
  <si>
    <t>Open-Air Poetry Slam - Neckarstrand Remseck 19-21h (15E nur online bis zum Abend)</t>
  </si>
  <si>
    <t>https://www.stadt-remseck.de/termin/Weisse-Nacht-event-appointment10032</t>
  </si>
  <si>
    <t>Weiße Nacht - Neckarstrand Remseck (frei) 17-23h Livemusik und Foodtrucks (Biertisch 20E)</t>
  </si>
  <si>
    <t>https://estival-esslingen.de</t>
  </si>
  <si>
    <t>https://www.vaihingen.de/freizeit-erlebnis/veranstaltungen/kalender/1345/vaihinger-strassenfest</t>
  </si>
  <si>
    <t>Straßenfest Vaihingen/Enz (immer letztes Ferienwochenende) Sa 16-1h;So 11-20h</t>
  </si>
  <si>
    <t>https://www.bietigheim-bissingen.de/kultur-sport-freizeit/veranstaltungen/veranstaltungen/bietigheimer-pferdemarkt/</t>
  </si>
  <si>
    <t>Ludwigsburger Steillagentage</t>
  </si>
  <si>
    <t>Venezianische Messe Ludwigsburg (alle 2 Jahre) – Eintritt frei</t>
  </si>
  <si>
    <t>Vaihinger Herbst (Verkaufsoffener Sonntag 13-18 Uhr) rund um den Vaihinger Markt</t>
  </si>
  <si>
    <t>https://feuerseefest.de</t>
  </si>
  <si>
    <t>https://www.bw-guide.de/landkreis-boeblingen-sehenswuerdigkeiten/sehenswuerdigkeiten-veranstaltungen-boeblingen/gerlinger-strassenfest-gerlingen/</t>
  </si>
  <si>
    <t>StauferSpektakel und Ritterturney im StauferWald zu Göppingen</t>
  </si>
  <si>
    <t>https://mittelaltermarkt.online/event/stauferspektakel-und-ritterturney-im-stauferwald-zu-goeppingen-2025/</t>
  </si>
  <si>
    <t>Waiblinger Altstadtfest (Fr. ab 19h) und Staufer Spektakel</t>
  </si>
  <si>
    <t>Märchenherbst zu Böblingen auf dem Schlossberg rund um die Stadtkirche</t>
  </si>
  <si>
    <t>Burg Stettenfels Mittelalterliches Burgfest - 15 Euro - genügend Karten an der Tageskasse (setzt 2025 aus)</t>
  </si>
  <si>
    <t>https://www.grossbottwar.de/veranstaltungen/2637437/2025/09/27/historischer-markt-gro%C3%9Fbottwar.html</t>
  </si>
  <si>
    <t>https://www.heilbronn.de/tourismus/veranstaltung/heilbronner-hafenmarkt.html?cHash=d859d65a462d3bf618e18f158364eec8</t>
  </si>
  <si>
    <t>Apfelfest Bietigheim-Bissingen 11-18h</t>
  </si>
  <si>
    <t>https://www.fellbach.de/de/Kultur,Genuss,Wein/Feste-und-Veranstaltungen/Fellbacher-Herbst</t>
  </si>
  <si>
    <t>https://www.heilbronn.de/tourismus/veranstaltung/jazz-einkauf.html?cHash=d2bce82ece3070180242321bf3138e32</t>
  </si>
  <si>
    <t>https://www.streetfoodfiesta.de</t>
  </si>
  <si>
    <t>Winterstreetfood Fiesta, Holzgrundplatz, Kornwestheim</t>
  </si>
  <si>
    <t>Kornwestheim blüht auf - Stadtmitte Holzgrundplatz, Straßenmusik, Kunsthandwerkermarkt</t>
  </si>
  <si>
    <t>https://kovariev.de</t>
  </si>
  <si>
    <t>Oldtimer &amp; Eleganz - Das Vintage Event in Vaihingen/Enz</t>
  </si>
  <si>
    <t>Historienspektakel Vaihingen Enz (nicht 2025)</t>
  </si>
  <si>
    <t>https://www.esslingen-info.com/veranstaltung/esslinger-herbst-26f5b299b1</t>
  </si>
  <si>
    <t>https://www.christmas-garden.de/stuttgart/</t>
  </si>
  <si>
    <t>https://latinfestival.de</t>
  </si>
  <si>
    <t>https://www.messen.de/de/23178/stuttgart/food-und-feines/info</t>
  </si>
  <si>
    <t>Food und Feines Messe Stuttgart</t>
  </si>
  <si>
    <t>https://www.calw.de/event/weihnachtsmarkt-maerchenhaftes-calw-1615ad9691</t>
  </si>
  <si>
    <t>https://visit.ludwigsburg.de/start/events/ludwigsburger+barock-weihnachtsmarkt.html</t>
  </si>
  <si>
    <t>https://www.esslingen-info.com/veranstaltungen/mittelaltermarkt-weihnachtsmarkt</t>
  </si>
  <si>
    <t>Bietigheimer Sternlesmarkt (11.30-21.00 Uhr) alle Advent: Do-So</t>
  </si>
  <si>
    <t>https://www.deutsche-weihnachtsmaerkte.de/weihnachtsmarkt/in/baden-wuerttemberg/sternlesmarkt-bietigheim-bissingen-106.html</t>
  </si>
  <si>
    <t>https://www.heilbronn.de/tourismus/veranstaltung/kaethchen-weihnachtsmarkt-heilbronn-177995.html</t>
  </si>
  <si>
    <t>https://www.nuertingen.de/kultur-freizeit/erleben-entdecken/maerkte/weihnachtsmarkt</t>
  </si>
  <si>
    <t>Altdeutscher Weihnachtsmarkt Bad Wimpfen (47 min, hinter Heilbronn) erste drei Advendswochenden</t>
  </si>
  <si>
    <t>https://www.badwimpfen.de/gaeste-bereich/kultur-erleben/feste-maerkte/altdeutscher-weihnachtsmarkt</t>
  </si>
  <si>
    <t>https://www.mv-eglosheim.de/Termine.html</t>
  </si>
  <si>
    <t>Kelterplatzfest Eglosheim</t>
  </si>
  <si>
    <t>Sand-Natur-Kunst im Ostgarten des Blühenden Barock</t>
  </si>
  <si>
    <t>https://visit.ludwigsburg.de/start/events/top-veranstaltungen.html</t>
  </si>
  <si>
    <t>https://brautage.com</t>
  </si>
  <si>
    <t>Brautage - Ludwigsburg Rathausplatz (ab 15h WE, sonst ab 17h)</t>
  </si>
  <si>
    <t>https://www.blueba.de/de/sand-kunst.html</t>
  </si>
  <si>
    <t>https://www.blueba.de/de/strassenmusikfestival.html</t>
  </si>
  <si>
    <t>Ludwigsbruger Marktplatzfest</t>
  </si>
  <si>
    <t>https://www.marktplatzfest-lb.de</t>
  </si>
  <si>
    <t>Der Lichterzauber im Blühenden Barock</t>
  </si>
  <si>
    <t>https://www.blueba.de/de/lichterzauber.html</t>
  </si>
  <si>
    <t>https://visit.ludwigsburg.de/start/events/ludwigsburger+steillagentage.html</t>
  </si>
  <si>
    <t>https://www.blueba.de/de/musikfeuerwerk.html</t>
  </si>
  <si>
    <t>http://www.ludwigsburger-weinlaube.de</t>
  </si>
  <si>
    <t>https://www.blueba.de/de/kuerbisausstellung.html</t>
  </si>
  <si>
    <t>https://visit.ludwigsburg.de/antikmeile</t>
  </si>
  <si>
    <t>https://visit.ludwigsburg.de/site/Ludwigsburg-Tourismus/node/17879588/zmdetail_523246797401/index.html?site=Ludwigsburg-Tourismus&amp;protocol=https&amp;port=443&amp;context=&amp;siteprefix=site&amp;host=visit.ludwigsburg.de&amp;forceBaseUrl=true&amp;nodeID=523246797401</t>
  </si>
  <si>
    <t>Kastanienbeutelfest Ludwigsburg - Verkaufsoffener Sonntag 11-18h</t>
  </si>
  <si>
    <t>https://www.blueba.de/de/leuchtende-traumpfade.html</t>
  </si>
  <si>
    <t>https://www.landkreis-ludwigsburg.de/de/landratsamt-landkreis/tourismus-freizeit/spaetlingsmarkt/</t>
  </si>
  <si>
    <t>Spätlingsmarkt Kreishaus (Landratsamt) Ludwigsburg</t>
  </si>
  <si>
    <r>
      <t xml:space="preserve">Burg Löwenstein im Mittelalter </t>
    </r>
    <r>
      <rPr>
        <sz val="10"/>
        <color theme="0" tint="-0.34998626667073579"/>
        <rFont val="Arial"/>
        <family val="2"/>
      </rPr>
      <t>nur ganz klein, Essen nur Würste, beim Breitenauer See</t>
    </r>
  </si>
  <si>
    <t>Internationales Straßenfest Sindelfingen - Top Fest, nur 40 min Anfahrt</t>
  </si>
  <si>
    <t>Hofener Sommerfest</t>
  </si>
  <si>
    <t>https://sommerfest-hofen.de</t>
  </si>
  <si>
    <t>Fleggafeschd Pfarrgarten Neckargröningen Sa ab 16 Uhr, So 11 Uhr</t>
  </si>
  <si>
    <t>Fleckenfest Schwaikheim</t>
  </si>
  <si>
    <t>https://www.schloss-solitude.de/besuchsinformation/veranstaltungen/home-garden</t>
  </si>
  <si>
    <t>Pop-Up-Picknick Sunset Vibes Schloss Solitude</t>
  </si>
  <si>
    <t>https://www.schloss-solitude.de/besuchsinformation/veranstaltungen/sunset-vibes</t>
  </si>
  <si>
    <t>https://flammende-sterne.de</t>
  </si>
  <si>
    <t>Internationales Feuerwerksfestival Flammende Sterne / Scharnhauser Park Ostfieldern 18-24 h</t>
  </si>
  <si>
    <t>Home &amp; Garten Schloss Solitude (13/15 Euro); + freie Schlossbesichtigung -TOP Dinge</t>
  </si>
  <si>
    <t>Stadtfest Kornwestheim</t>
  </si>
  <si>
    <t>Spassix Comedy-Nacht Open Air in Heilbronn, Talheim, Lauffen u. Neckarwestheim</t>
  </si>
  <si>
    <t>www.spassix.de</t>
  </si>
  <si>
    <t>www.garten-schloss-langenburg.de</t>
  </si>
  <si>
    <t>"Fürstlichen Gartentage auf Schloss Langenburg" (1.15 h Fahrt) - Größte süddeutsche Ausstellung für Garten und schöner Wohnen</t>
  </si>
  <si>
    <t>www.stadtwerke-fellbach.de</t>
  </si>
  <si>
    <t>Eintritt frei - Life im Park - Fellbach, Guntram-Palm-Platz (Park der Schwabenlandhalle)</t>
  </si>
  <si>
    <t>Fränkisches Volksfest Crailsheim (1:22 h Fahrt)</t>
  </si>
  <si>
    <t>http://www.crailsheim.de/</t>
  </si>
  <si>
    <t>breitenauer see</t>
  </si>
  <si>
    <t>Oechsle Fest Pfortsheim (0:51 h Fahrt) - 11-23 h Marktplatz</t>
  </si>
  <si>
    <t>https://www.ws-pforzheim.de/stadtmarketing/events-und-aktionen/</t>
  </si>
  <si>
    <t>Christmas Garden Stuttgart Wilhelma</t>
  </si>
  <si>
    <t>KW6</t>
  </si>
  <si>
    <t>Leonberger Pferdemarkt</t>
  </si>
  <si>
    <t>leonberger-pferdemarkt.de</t>
  </si>
  <si>
    <t>www.tripsdrill.de</t>
  </si>
  <si>
    <t>WinterWunderland Wildparadies Tripdrill (online buchen) An WE und in den Ferien</t>
  </si>
  <si>
    <t>Christmas Garden, Wilhelma Stuttgart - onlien buchen</t>
  </si>
  <si>
    <t>Mittelalterlicher Adventsmarkt Burg Stettenfels Sa 13-21 Uhr und So 11-19 Uhr</t>
  </si>
  <si>
    <t>https://www.bw-guide.de/startseite-bw/feste-veranstaltungen-stuttgart/</t>
  </si>
  <si>
    <t>https://visit.ludwigsburg.de/start/events.html</t>
  </si>
  <si>
    <t>https://www.veranstaltung-baden-wuerttemberg.de</t>
  </si>
  <si>
    <t>https://www.stuttgart.de/service/veranstaltungen</t>
  </si>
  <si>
    <t>https://www.mittelalterkalender.info</t>
  </si>
  <si>
    <t>https://mittelaltermarkt.online/mittelalterspektakel-in-deutschland/</t>
  </si>
  <si>
    <t>https://www.mittelalter-zeitreise.de</t>
  </si>
  <si>
    <t>https://www.blueba.de/de/veranstaltungskalender.html</t>
  </si>
  <si>
    <t>https://www.lift-online.de/veranstaltungen/essen-und-trinken/</t>
  </si>
  <si>
    <t>https://www.erlebnisregion-stuttgart.de/touren-und-erlebnisse/veranstaltungskalender-region?form=filter&amp;query=&amp;proximityCoordinates=&amp;proximityLocation=&amp;proximityRadius=&amp;date=2023-10-29</t>
  </si>
  <si>
    <t>https://www.stuttgart-tourist.de/highlights-in-stuttgart/event-highlights-in-stuttgart</t>
  </si>
  <si>
    <t>Anfahrt</t>
  </si>
  <si>
    <t>Weblink</t>
  </si>
  <si>
    <t>Infos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</si>
</sst>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&quot;.&quot;"/>
    <numFmt numFmtId="165" formatCode="&quot;KW &quot;0"/>
    <numFmt numFmtId="166" formatCode="dd/mm/"/>
  </numFmts>
  <fonts count="18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trike/>
      <sz val="10"/>
      <name val="Arial"/>
      <family val="2"/>
    </font>
    <font>
      <b/>
      <sz val="10"/>
      <color rgb="FF00B0F0"/>
      <name val="Arial"/>
      <family val="2"/>
    </font>
    <font>
      <b/>
      <sz val="10"/>
      <color theme="5" tint="0.39997558519241921"/>
      <name val="Arial"/>
      <family val="2"/>
    </font>
    <font>
      <sz val="10"/>
      <color theme="9" tint="-0.249977111117893"/>
      <name val="Arial"/>
      <family val="2"/>
    </font>
    <font>
      <strike/>
      <sz val="10"/>
      <color theme="0" tint="-0.34998626667073579"/>
      <name val="Arial"/>
      <family val="2"/>
    </font>
    <font>
      <sz val="10"/>
      <color theme="0" tint="-0.34998626667073579"/>
      <name val="Arial"/>
      <family val="2"/>
    </font>
    <font>
      <sz val="10"/>
      <color theme="0" tint="-0.499984740745262"/>
      <name val="Arial"/>
      <family val="2"/>
    </font>
    <font>
      <b/>
      <sz val="10"/>
      <color theme="0" tint="-0.4999847407452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1" applyFont="1" applyAlignment="1" applyProtection="1"/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0" fontId="9" fillId="0" borderId="0" xfId="0" applyFont="1"/>
    <xf numFmtId="0" fontId="8" fillId="0" borderId="0" xfId="0" applyFont="1" applyAlignment="1">
      <alignment vertical="center"/>
    </xf>
    <xf numFmtId="0" fontId="3" fillId="0" borderId="0" xfId="1" applyAlignment="1" applyProtection="1"/>
    <xf numFmtId="0" fontId="4" fillId="2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5" fillId="2" borderId="0" xfId="1" applyFont="1" applyFill="1" applyAlignment="1" applyProtection="1"/>
    <xf numFmtId="0" fontId="4" fillId="2" borderId="0" xfId="0" applyFont="1" applyFill="1"/>
    <xf numFmtId="0" fontId="7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4" fillId="4" borderId="0" xfId="0" applyFont="1" applyFill="1"/>
    <xf numFmtId="0" fontId="1" fillId="0" borderId="0" xfId="0" applyFont="1" applyAlignment="1">
      <alignment vertical="center"/>
    </xf>
    <xf numFmtId="0" fontId="1" fillId="0" borderId="0" xfId="0" applyFont="1"/>
    <xf numFmtId="0" fontId="4" fillId="0" borderId="0" xfId="0" quotePrefix="1" applyFont="1" applyAlignment="1">
      <alignment horizontal="center"/>
    </xf>
    <xf numFmtId="164" fontId="4" fillId="0" borderId="0" xfId="0" applyNumberFormat="1" applyFont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4" fillId="0" borderId="2" xfId="0" quotePrefix="1" applyFont="1" applyBorder="1" applyAlignment="1">
      <alignment horizontal="center"/>
    </xf>
    <xf numFmtId="164" fontId="4" fillId="0" borderId="3" xfId="0" quotePrefix="1" applyNumberFormat="1" applyFont="1" applyBorder="1" applyAlignment="1">
      <alignment horizontal="right"/>
    </xf>
    <xf numFmtId="165" fontId="4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1" fillId="2" borderId="0" xfId="0" applyNumberFormat="1" applyFont="1" applyFill="1" applyAlignment="1">
      <alignment horizontal="left"/>
    </xf>
    <xf numFmtId="165" fontId="4" fillId="0" borderId="0" xfId="0" applyNumberFormat="1" applyFont="1"/>
    <xf numFmtId="166" fontId="4" fillId="0" borderId="1" xfId="0" applyNumberFormat="1" applyFont="1" applyBorder="1" applyAlignment="1">
      <alignment horizontal="right"/>
    </xf>
    <xf numFmtId="166" fontId="4" fillId="0" borderId="2" xfId="0" applyNumberFormat="1" applyFont="1" applyBorder="1" applyAlignment="1">
      <alignment horizontal="right"/>
    </xf>
    <xf numFmtId="166" fontId="4" fillId="2" borderId="1" xfId="0" applyNumberFormat="1" applyFont="1" applyFill="1" applyBorder="1" applyAlignment="1">
      <alignment horizontal="right"/>
    </xf>
    <xf numFmtId="0" fontId="4" fillId="2" borderId="2" xfId="0" quotePrefix="1" applyFont="1" applyFill="1" applyBorder="1" applyAlignment="1">
      <alignment horizontal="center"/>
    </xf>
    <xf numFmtId="166" fontId="4" fillId="2" borderId="2" xfId="0" applyNumberFormat="1" applyFont="1" applyFill="1" applyBorder="1" applyAlignment="1">
      <alignment horizontal="right"/>
    </xf>
    <xf numFmtId="0" fontId="4" fillId="2" borderId="3" xfId="0" applyFont="1" applyFill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166" fontId="1" fillId="0" borderId="2" xfId="0" applyNumberFormat="1" applyFont="1" applyBorder="1" applyAlignment="1">
      <alignment horizontal="right"/>
    </xf>
    <xf numFmtId="0" fontId="1" fillId="0" borderId="3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165" fontId="4" fillId="0" borderId="0" xfId="0" applyNumberFormat="1" applyFont="1" applyAlignment="1">
      <alignment horizontal="center" vertical="center"/>
    </xf>
    <xf numFmtId="0" fontId="12" fillId="0" borderId="3" xfId="0" applyFont="1" applyBorder="1" applyAlignment="1">
      <alignment horizontal="left"/>
    </xf>
    <xf numFmtId="0" fontId="13" fillId="0" borderId="0" xfId="0" applyFont="1"/>
    <xf numFmtId="0" fontId="3" fillId="0" borderId="3" xfId="1" applyBorder="1" applyAlignment="1" applyProtection="1">
      <alignment horizontal="left"/>
    </xf>
    <xf numFmtId="0" fontId="14" fillId="0" borderId="0" xfId="0" applyFont="1"/>
    <xf numFmtId="166" fontId="4" fillId="0" borderId="2" xfId="0" applyNumberFormat="1" applyFont="1" applyBorder="1" applyAlignment="1">
      <alignment horizontal="left"/>
    </xf>
    <xf numFmtId="166" fontId="3" fillId="0" borderId="2" xfId="1" applyNumberFormat="1" applyBorder="1" applyAlignment="1" applyProtection="1">
      <alignment horizontal="left"/>
    </xf>
    <xf numFmtId="166" fontId="16" fillId="0" borderId="1" xfId="0" applyNumberFormat="1" applyFont="1" applyBorder="1" applyAlignment="1">
      <alignment horizontal="right"/>
    </xf>
    <xf numFmtId="0" fontId="16" fillId="0" borderId="2" xfId="0" quotePrefix="1" applyFont="1" applyBorder="1" applyAlignment="1">
      <alignment horizontal="center"/>
    </xf>
    <xf numFmtId="166" fontId="17" fillId="0" borderId="2" xfId="0" applyNumberFormat="1" applyFont="1" applyBorder="1" applyAlignment="1">
      <alignment horizontal="right"/>
    </xf>
    <xf numFmtId="0" fontId="16" fillId="0" borderId="3" xfId="0" applyFont="1" applyBorder="1" applyAlignment="1">
      <alignment horizontal="left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/>
    </xf>
    <xf numFmtId="165" fontId="4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Fill="1" applyBorder="1" applyAlignment="1">
      <alignment horizontal="left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ellbach.de/de/Kultur,Genuss,Wein/Feste-und-Veranstaltungen/Fellbacher-Herbst" TargetMode="External"/><Relationship Id="rId21" Type="http://schemas.openxmlformats.org/officeDocument/2006/relationships/hyperlink" Target="https://feuerseefest.de/" TargetMode="External"/><Relationship Id="rId34" Type="http://schemas.openxmlformats.org/officeDocument/2006/relationships/hyperlink" Target="https://www.messen.de/de/23178/stuttgart/food-und-feines/info" TargetMode="External"/><Relationship Id="rId42" Type="http://schemas.openxmlformats.org/officeDocument/2006/relationships/hyperlink" Target="https://www.mv-eglosheim.de/Termine.html" TargetMode="External"/><Relationship Id="rId47" Type="http://schemas.openxmlformats.org/officeDocument/2006/relationships/hyperlink" Target="https://www.blueba.de/de/strassenmusikfestival.html" TargetMode="External"/><Relationship Id="rId50" Type="http://schemas.openxmlformats.org/officeDocument/2006/relationships/hyperlink" Target="https://visit.ludwigsburg.de/start/events/ludwigsburger+steillagentage.html" TargetMode="External"/><Relationship Id="rId55" Type="http://schemas.openxmlformats.org/officeDocument/2006/relationships/hyperlink" Target="https://visit.ludwigsburg.de/antikmeile" TargetMode="External"/><Relationship Id="rId63" Type="http://schemas.openxmlformats.org/officeDocument/2006/relationships/hyperlink" Target="http://www.garten-schloss-langenburg.de/" TargetMode="External"/><Relationship Id="rId68" Type="http://schemas.openxmlformats.org/officeDocument/2006/relationships/printerSettings" Target="../printerSettings/printerSettings1.bin"/><Relationship Id="rId7" Type="http://schemas.openxmlformats.org/officeDocument/2006/relationships/hyperlink" Target="http://www.weinamsee.net/" TargetMode="External"/><Relationship Id="rId2" Type="http://schemas.openxmlformats.org/officeDocument/2006/relationships/hyperlink" Target="https://www.heilbronn.de/tourismus/veranstaltungen/veranstaltungskalender/veranstaltung/kultursamstag-das-festival-juli.html" TargetMode="External"/><Relationship Id="rId16" Type="http://schemas.openxmlformats.org/officeDocument/2006/relationships/hyperlink" Target="https://www.stadt-remseck.de/termin/Open-Air-Poetry-Slam-event-appointment10030" TargetMode="External"/><Relationship Id="rId29" Type="http://schemas.openxmlformats.org/officeDocument/2006/relationships/hyperlink" Target="https://www.streetfoodfiesta.de/" TargetMode="External"/><Relationship Id="rId11" Type="http://schemas.openxmlformats.org/officeDocument/2006/relationships/hyperlink" Target="https://www.ud-stuttgart.de/" TargetMode="External"/><Relationship Id="rId24" Type="http://schemas.openxmlformats.org/officeDocument/2006/relationships/hyperlink" Target="https://www.grossbottwar.de/veranstaltungen/2637437/2025/09/27/historischer-markt-gro%C3%9Fbottwar.html" TargetMode="External"/><Relationship Id="rId32" Type="http://schemas.openxmlformats.org/officeDocument/2006/relationships/hyperlink" Target="https://www.christmas-garden.de/stuttgart/" TargetMode="External"/><Relationship Id="rId37" Type="http://schemas.openxmlformats.org/officeDocument/2006/relationships/hyperlink" Target="https://www.esslingen-info.com/veranstaltungen/mittelaltermarkt-weihnachtsmarkt" TargetMode="External"/><Relationship Id="rId40" Type="http://schemas.openxmlformats.org/officeDocument/2006/relationships/hyperlink" Target="https://www.nuertingen.de/kultur-freizeit/erleben-entdecken/maerkte/weihnachtsmarkt" TargetMode="External"/><Relationship Id="rId45" Type="http://schemas.openxmlformats.org/officeDocument/2006/relationships/hyperlink" Target="https://brautage.com/" TargetMode="External"/><Relationship Id="rId53" Type="http://schemas.openxmlformats.org/officeDocument/2006/relationships/hyperlink" Target="https://www.blueba.de/de/lichterzauber.html" TargetMode="External"/><Relationship Id="rId58" Type="http://schemas.openxmlformats.org/officeDocument/2006/relationships/hyperlink" Target="https://sommerfest-hofen.de/" TargetMode="External"/><Relationship Id="rId66" Type="http://schemas.openxmlformats.org/officeDocument/2006/relationships/hyperlink" Target="https://www.christmas-garden.de/stuttgart/" TargetMode="External"/><Relationship Id="rId5" Type="http://schemas.openxmlformats.org/officeDocument/2006/relationships/hyperlink" Target="https://www.heilbronn.de/tourismus/veranstaltungen/veranstaltungskalender/veranstaltung/heilbronner-maifest.html" TargetMode="External"/><Relationship Id="rId61" Type="http://schemas.openxmlformats.org/officeDocument/2006/relationships/hyperlink" Target="https://flammende-sterne.de/" TargetMode="External"/><Relationship Id="rId19" Type="http://schemas.openxmlformats.org/officeDocument/2006/relationships/hyperlink" Target="https://www.vaihingen.de/freizeit-erlebnis/veranstaltungen/kalender/1345/vaihinger-strassenfest" TargetMode="External"/><Relationship Id="rId14" Type="http://schemas.openxmlformats.org/officeDocument/2006/relationships/hyperlink" Target="https://www.afrikafestival-stuttgart.de/" TargetMode="External"/><Relationship Id="rId22" Type="http://schemas.openxmlformats.org/officeDocument/2006/relationships/hyperlink" Target="https://www.bw-guide.de/landkreis-boeblingen-sehenswuerdigkeiten/sehenswuerdigkeiten-veranstaltungen-boeblingen/gerlinger-strassenfest-gerlingen/" TargetMode="External"/><Relationship Id="rId27" Type="http://schemas.openxmlformats.org/officeDocument/2006/relationships/hyperlink" Target="https://www.heilbronn.de/tourismus/veranstaltung/jazz-einkauf.html?cHash=d2bce82ece3070180242321bf3138e32" TargetMode="External"/><Relationship Id="rId30" Type="http://schemas.openxmlformats.org/officeDocument/2006/relationships/hyperlink" Target="https://kovariev.de/" TargetMode="External"/><Relationship Id="rId35" Type="http://schemas.openxmlformats.org/officeDocument/2006/relationships/hyperlink" Target="https://www.calw.de/event/weihnachtsmarkt-maerchenhaftes-calw-1615ad9691" TargetMode="External"/><Relationship Id="rId43" Type="http://schemas.openxmlformats.org/officeDocument/2006/relationships/hyperlink" Target="https://visit.ludwigsburg.de/start/events/top-veranstaltungen.html" TargetMode="External"/><Relationship Id="rId48" Type="http://schemas.openxmlformats.org/officeDocument/2006/relationships/hyperlink" Target="https://www.marktplatzfest-lb.de/" TargetMode="External"/><Relationship Id="rId56" Type="http://schemas.openxmlformats.org/officeDocument/2006/relationships/hyperlink" Target="https://www.blueba.de/de/leuchtende-traumpfade.html" TargetMode="External"/><Relationship Id="rId64" Type="http://schemas.openxmlformats.org/officeDocument/2006/relationships/hyperlink" Target="http://www.stadtwerke-fellbach.de/" TargetMode="External"/><Relationship Id="rId8" Type="http://schemas.openxmlformats.org/officeDocument/2006/relationships/hyperlink" Target="https://erlebnis-monrepos.de/event_landpartie_2025.html" TargetMode="External"/><Relationship Id="rId51" Type="http://schemas.openxmlformats.org/officeDocument/2006/relationships/hyperlink" Target="https://www.blueba.de/de/musikfeuerwerk.html" TargetMode="External"/><Relationship Id="rId3" Type="http://schemas.openxmlformats.org/officeDocument/2006/relationships/hyperlink" Target="https://www.heilbronn.de/tourismus/veranstaltungen/veranstaltungskalender/veranstaltung/heilbronner-herbstmesse-2024-120540.html" TargetMode="External"/><Relationship Id="rId12" Type="http://schemas.openxmlformats.org/officeDocument/2006/relationships/hyperlink" Target="https://www.glemseck101.de/" TargetMode="External"/><Relationship Id="rId17" Type="http://schemas.openxmlformats.org/officeDocument/2006/relationships/hyperlink" Target="https://www.stadt-remseck.de/termin/Weisse-Nacht-event-appointment10032" TargetMode="External"/><Relationship Id="rId25" Type="http://schemas.openxmlformats.org/officeDocument/2006/relationships/hyperlink" Target="https://www.heilbronn.de/tourismus/veranstaltung/heilbronner-hafenmarkt.html?cHash=d859d65a462d3bf618e18f158364eec8" TargetMode="External"/><Relationship Id="rId33" Type="http://schemas.openxmlformats.org/officeDocument/2006/relationships/hyperlink" Target="https://latinfestival.de/" TargetMode="External"/><Relationship Id="rId38" Type="http://schemas.openxmlformats.org/officeDocument/2006/relationships/hyperlink" Target="https://www.deutsche-weihnachtsmaerkte.de/weihnachtsmarkt/in/baden-wuerttemberg/sternlesmarkt-bietigheim-bissingen-106.html" TargetMode="External"/><Relationship Id="rId46" Type="http://schemas.openxmlformats.org/officeDocument/2006/relationships/hyperlink" Target="https://www.blueba.de/de/sand-kunst.html" TargetMode="External"/><Relationship Id="rId59" Type="http://schemas.openxmlformats.org/officeDocument/2006/relationships/hyperlink" Target="https://www.schloss-solitude.de/besuchsinformation/veranstaltungen/home-garden" TargetMode="External"/><Relationship Id="rId67" Type="http://schemas.openxmlformats.org/officeDocument/2006/relationships/hyperlink" Target="http://www.tripsdrill.de/" TargetMode="External"/><Relationship Id="rId20" Type="http://schemas.openxmlformats.org/officeDocument/2006/relationships/hyperlink" Target="https://www.bietigheim-bissingen.de/kultur-sport-freizeit/veranstaltungen/veranstaltungen/bietigheimer-pferdemarkt/" TargetMode="External"/><Relationship Id="rId41" Type="http://schemas.openxmlformats.org/officeDocument/2006/relationships/hyperlink" Target="https://www.badwimpfen.de/gaeste-bereich/kultur-erleben/feste-maerkte/altdeutscher-weihnachtsmarkt" TargetMode="External"/><Relationship Id="rId54" Type="http://schemas.openxmlformats.org/officeDocument/2006/relationships/hyperlink" Target="https://www.blueba.de/de/kuerbisausstellung.html" TargetMode="External"/><Relationship Id="rId62" Type="http://schemas.openxmlformats.org/officeDocument/2006/relationships/hyperlink" Target="http://www.spassix.de/" TargetMode="External"/><Relationship Id="rId1" Type="http://schemas.openxmlformats.org/officeDocument/2006/relationships/hyperlink" Target="https://www.heilbronn.de/tourismus/veranstaltungen/veranstaltungskalender/veranstaltung/lebensart-heilbronner-gartentraeume.html" TargetMode="External"/><Relationship Id="rId6" Type="http://schemas.openxmlformats.org/officeDocument/2006/relationships/hyperlink" Target="http://ochsenfest.com/" TargetMode="External"/><Relationship Id="rId15" Type="http://schemas.openxmlformats.org/officeDocument/2006/relationships/hyperlink" Target="https://www.fabula-corvinus.de/veranstaltungen-2025/72764-reutlingen-mittelalterlicher-markt-zu-reutlingen-im-rahmen-des-schw%C3%B6rtags/" TargetMode="External"/><Relationship Id="rId23" Type="http://schemas.openxmlformats.org/officeDocument/2006/relationships/hyperlink" Target="https://mittelaltermarkt.online/event/stauferspektakel-und-ritterturney-im-stauferwald-zu-goeppingen-2025/" TargetMode="External"/><Relationship Id="rId28" Type="http://schemas.openxmlformats.org/officeDocument/2006/relationships/hyperlink" Target="https://www.streetfoodfiesta.de/" TargetMode="External"/><Relationship Id="rId36" Type="http://schemas.openxmlformats.org/officeDocument/2006/relationships/hyperlink" Target="https://visit.ludwigsburg.de/start/events/ludwigsburger+barock-weihnachtsmarkt.html" TargetMode="External"/><Relationship Id="rId49" Type="http://schemas.openxmlformats.org/officeDocument/2006/relationships/hyperlink" Target="https://www.blueba.de/de/lichterzauber.html" TargetMode="External"/><Relationship Id="rId57" Type="http://schemas.openxmlformats.org/officeDocument/2006/relationships/hyperlink" Target="https://www.landkreis-ludwigsburg.de/de/landratsamt-landkreis/tourismus-freizeit/spaetlingsmarkt/" TargetMode="External"/><Relationship Id="rId10" Type="http://schemas.openxmlformats.org/officeDocument/2006/relationships/hyperlink" Target="https://www.stadtwerke-lichterfestival.de/de/home/" TargetMode="External"/><Relationship Id="rId31" Type="http://schemas.openxmlformats.org/officeDocument/2006/relationships/hyperlink" Target="https://www.esslingen-info.com/veranstaltung/esslinger-herbst-26f5b299b1" TargetMode="External"/><Relationship Id="rId44" Type="http://schemas.openxmlformats.org/officeDocument/2006/relationships/hyperlink" Target="https://visit.ludwigsburg.de/start/events/top-veranstaltungen.html" TargetMode="External"/><Relationship Id="rId52" Type="http://schemas.openxmlformats.org/officeDocument/2006/relationships/hyperlink" Target="http://www.ludwigsburger-weinlaube.de/" TargetMode="External"/><Relationship Id="rId60" Type="http://schemas.openxmlformats.org/officeDocument/2006/relationships/hyperlink" Target="https://www.schloss-solitude.de/besuchsinformation/veranstaltungen/sunset-vibes" TargetMode="External"/><Relationship Id="rId65" Type="http://schemas.openxmlformats.org/officeDocument/2006/relationships/hyperlink" Target="http://www.crailsheim.de/" TargetMode="External"/><Relationship Id="rId4" Type="http://schemas.openxmlformats.org/officeDocument/2006/relationships/hyperlink" Target="https://www.heilbronn.de/tourismus/veranstaltungen/veranstaltungskalender/veranstaltung/heilbronner-pferdemarkt-78839.html" TargetMode="External"/><Relationship Id="rId9" Type="http://schemas.openxmlformats.org/officeDocument/2006/relationships/hyperlink" Target="https://www.fischmarkt.events/stuttgart/" TargetMode="External"/><Relationship Id="rId13" Type="http://schemas.openxmlformats.org/officeDocument/2006/relationships/hyperlink" Target="https://www.adticket.de/Mittelalter-Spektakel-zu-ULM-Kloster-Wiblingen/Ulm-Kloster-Wiblingen/01-06-2025_10-00.html" TargetMode="External"/><Relationship Id="rId18" Type="http://schemas.openxmlformats.org/officeDocument/2006/relationships/hyperlink" Target="https://estival-esslingen.de/" TargetMode="External"/><Relationship Id="rId39" Type="http://schemas.openxmlformats.org/officeDocument/2006/relationships/hyperlink" Target="https://www.heilbronn.de/tourismus/veranstaltung/kaethchen-weihnachtsmarkt-heilbronn-17799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09"/>
  <sheetViews>
    <sheetView tabSelected="1" zoomScale="130" zoomScaleNormal="130" workbookViewId="0">
      <selection activeCell="I2" sqref="I2"/>
    </sheetView>
  </sheetViews>
  <sheetFormatPr baseColWidth="10" defaultColWidth="11.5" defaultRowHeight="13" x14ac:dyDescent="0.15"/>
  <cols>
    <col min="1" max="1" width="9.1640625" style="27" customWidth="1"/>
    <col min="2" max="2" width="6.5" style="23" bestFit="1" customWidth="1"/>
    <col min="3" max="3" width="1.6640625" style="2" bestFit="1" customWidth="1"/>
    <col min="4" max="4" width="6.1640625" style="23" bestFit="1" customWidth="1"/>
    <col min="5" max="5" width="7" style="38" customWidth="1"/>
    <col min="6" max="6" width="59.33203125" style="1" customWidth="1"/>
    <col min="7" max="7" width="33" style="1" customWidth="1"/>
    <col min="8" max="8" width="24.33203125" style="1" customWidth="1"/>
    <col min="9" max="9" width="71.6640625" style="1" customWidth="1"/>
    <col min="10" max="16384" width="11.5" style="1"/>
  </cols>
  <sheetData>
    <row r="1" spans="1:9" ht="18" x14ac:dyDescent="0.2">
      <c r="A1" s="28" t="s">
        <v>2</v>
      </c>
      <c r="B1" s="57" t="s">
        <v>3</v>
      </c>
      <c r="C1" s="57"/>
      <c r="D1" s="58"/>
      <c r="E1" s="40" t="s">
        <v>6</v>
      </c>
      <c r="F1" s="9" t="s">
        <v>79</v>
      </c>
      <c r="G1" s="6" t="s">
        <v>225</v>
      </c>
      <c r="H1" s="6" t="s">
        <v>224</v>
      </c>
      <c r="I1" s="59" t="s">
        <v>226</v>
      </c>
    </row>
    <row r="2" spans="1:9" ht="9.5" customHeight="1" x14ac:dyDescent="0.15">
      <c r="B2" s="31"/>
      <c r="C2" s="25" t="str">
        <f t="shared" ref="C2:C76" si="0">IF(OR(B2&lt;&gt;"",D2&lt;&gt;""),"-","")</f>
        <v/>
      </c>
      <c r="D2" s="32"/>
      <c r="F2" s="3"/>
    </row>
    <row r="3" spans="1:9" ht="13.25" customHeight="1" x14ac:dyDescent="0.15">
      <c r="A3" s="29" t="s">
        <v>61</v>
      </c>
      <c r="B3" s="33"/>
      <c r="C3" s="34" t="str">
        <f t="shared" si="0"/>
        <v/>
      </c>
      <c r="D3" s="35"/>
      <c r="E3" s="36"/>
      <c r="F3" s="14"/>
      <c r="G3" s="15"/>
      <c r="H3" s="15"/>
    </row>
    <row r="4" spans="1:9" ht="13.25" customHeight="1" x14ac:dyDescent="0.15">
      <c r="B4" s="31"/>
      <c r="C4" s="25" t="str">
        <f>IF(OR(B4&lt;&gt;"",D4&lt;&gt;""),"-","")</f>
        <v>-</v>
      </c>
      <c r="D4" s="32">
        <v>6</v>
      </c>
      <c r="E4" s="38">
        <v>2025</v>
      </c>
      <c r="F4" s="1" t="s">
        <v>74</v>
      </c>
    </row>
    <row r="5" spans="1:9" ht="13.25" customHeight="1" x14ac:dyDescent="0.15">
      <c r="B5" s="24"/>
      <c r="C5" s="25" t="str">
        <f t="shared" si="0"/>
        <v>-</v>
      </c>
      <c r="D5" s="32">
        <v>12</v>
      </c>
      <c r="E5" s="38">
        <v>2025</v>
      </c>
      <c r="F5" s="1" t="s">
        <v>73</v>
      </c>
    </row>
    <row r="6" spans="1:9" ht="13.25" customHeight="1" x14ac:dyDescent="0.15">
      <c r="A6" s="29" t="s">
        <v>62</v>
      </c>
      <c r="B6" s="33"/>
      <c r="C6" s="34" t="str">
        <f t="shared" si="0"/>
        <v/>
      </c>
      <c r="D6" s="35"/>
      <c r="E6" s="36"/>
      <c r="F6" s="14"/>
      <c r="G6" s="15"/>
      <c r="H6" s="15"/>
    </row>
    <row r="7" spans="1:9" s="27" customFormat="1" ht="13.25" customHeight="1" x14ac:dyDescent="0.15">
      <c r="A7" s="27" t="s">
        <v>206</v>
      </c>
      <c r="B7" s="31"/>
      <c r="C7" s="25" t="str">
        <f t="shared" ref="C7" si="1">IF(OR(B7&lt;&gt;"",D7&lt;&gt;""),"-","")</f>
        <v/>
      </c>
      <c r="D7" s="32"/>
    </row>
    <row r="8" spans="1:9" s="27" customFormat="1" ht="13.25" customHeight="1" x14ac:dyDescent="0.15">
      <c r="B8" s="31">
        <v>45694</v>
      </c>
      <c r="C8" s="25" t="str">
        <f t="shared" si="0"/>
        <v>-</v>
      </c>
      <c r="D8" s="32">
        <v>45698</v>
      </c>
      <c r="E8" s="37">
        <v>2026</v>
      </c>
      <c r="F8" s="1" t="s">
        <v>207</v>
      </c>
      <c r="G8" s="56" t="s">
        <v>208</v>
      </c>
    </row>
    <row r="9" spans="1:9" x14ac:dyDescent="0.15">
      <c r="A9" s="27">
        <v>7</v>
      </c>
      <c r="B9" s="31"/>
      <c r="C9" s="25" t="str">
        <f t="shared" si="0"/>
        <v/>
      </c>
      <c r="D9" s="32"/>
    </row>
    <row r="10" spans="1:9" x14ac:dyDescent="0.15">
      <c r="B10" s="31">
        <v>45703</v>
      </c>
      <c r="C10" s="25" t="str">
        <f t="shared" si="0"/>
        <v>-</v>
      </c>
      <c r="D10" s="32">
        <v>45704</v>
      </c>
      <c r="E10" s="38">
        <v>2025</v>
      </c>
      <c r="F10" s="1" t="s">
        <v>4</v>
      </c>
    </row>
    <row r="11" spans="1:9" x14ac:dyDescent="0.15">
      <c r="A11" s="27">
        <v>8</v>
      </c>
      <c r="B11" s="31"/>
      <c r="C11" s="25" t="str">
        <f t="shared" si="0"/>
        <v/>
      </c>
      <c r="D11" s="32"/>
      <c r="F11" s="3"/>
    </row>
    <row r="12" spans="1:9" x14ac:dyDescent="0.15">
      <c r="B12" s="31">
        <v>45710</v>
      </c>
      <c r="C12" s="25" t="str">
        <f t="shared" si="0"/>
        <v>-</v>
      </c>
      <c r="D12" s="32">
        <v>45711</v>
      </c>
      <c r="E12" s="38">
        <v>2025</v>
      </c>
      <c r="F12" s="1" t="s">
        <v>5</v>
      </c>
    </row>
    <row r="13" spans="1:9" x14ac:dyDescent="0.15">
      <c r="B13" s="31">
        <v>45709</v>
      </c>
      <c r="C13" s="25" t="str">
        <f t="shared" si="0"/>
        <v>-</v>
      </c>
      <c r="D13" s="32">
        <v>45711</v>
      </c>
      <c r="E13" s="38">
        <v>2025</v>
      </c>
      <c r="F13" s="1" t="s">
        <v>44</v>
      </c>
      <c r="G13" s="11" t="s">
        <v>43</v>
      </c>
    </row>
    <row r="14" spans="1:9" x14ac:dyDescent="0.15">
      <c r="A14" s="27">
        <v>9</v>
      </c>
      <c r="B14" s="31"/>
      <c r="C14" s="25"/>
      <c r="D14" s="32"/>
      <c r="G14" s="11"/>
    </row>
    <row r="15" spans="1:9" x14ac:dyDescent="0.15">
      <c r="A15" s="29" t="s">
        <v>63</v>
      </c>
      <c r="B15" s="33"/>
      <c r="C15" s="34" t="str">
        <f t="shared" si="0"/>
        <v/>
      </c>
      <c r="D15" s="35"/>
      <c r="E15" s="36"/>
      <c r="F15" s="14"/>
      <c r="G15" s="15"/>
      <c r="H15" s="15"/>
    </row>
    <row r="16" spans="1:9" x14ac:dyDescent="0.15">
      <c r="A16" s="27">
        <v>10</v>
      </c>
      <c r="B16" s="31"/>
      <c r="C16" s="25" t="str">
        <f t="shared" si="0"/>
        <v/>
      </c>
      <c r="D16" s="32"/>
    </row>
    <row r="17" spans="1:8" x14ac:dyDescent="0.15">
      <c r="A17" s="27">
        <v>11</v>
      </c>
      <c r="B17" s="31"/>
      <c r="C17" s="25" t="str">
        <f t="shared" si="0"/>
        <v/>
      </c>
      <c r="D17" s="32"/>
    </row>
    <row r="18" spans="1:8" x14ac:dyDescent="0.15">
      <c r="B18" s="31">
        <v>45730</v>
      </c>
      <c r="C18" s="25" t="str">
        <f t="shared" si="0"/>
        <v>-</v>
      </c>
      <c r="D18" s="32">
        <v>45732</v>
      </c>
      <c r="E18" s="38">
        <v>2025</v>
      </c>
      <c r="F18" s="1" t="s">
        <v>141</v>
      </c>
      <c r="G18" s="11" t="s">
        <v>139</v>
      </c>
    </row>
    <row r="19" spans="1:8" x14ac:dyDescent="0.15">
      <c r="B19" s="31">
        <v>45730</v>
      </c>
      <c r="C19" s="25" t="str">
        <f t="shared" si="0"/>
        <v>-</v>
      </c>
      <c r="D19" s="32">
        <v>45732</v>
      </c>
      <c r="E19" s="38">
        <v>2025</v>
      </c>
      <c r="F19" s="1" t="s">
        <v>7</v>
      </c>
    </row>
    <row r="20" spans="1:8" x14ac:dyDescent="0.15">
      <c r="A20" s="27">
        <v>12</v>
      </c>
      <c r="B20" s="31"/>
      <c r="C20" s="25"/>
      <c r="D20" s="32"/>
    </row>
    <row r="21" spans="1:8" x14ac:dyDescent="0.15">
      <c r="A21" s="27">
        <v>13</v>
      </c>
      <c r="B21" s="31"/>
      <c r="C21" s="25"/>
      <c r="D21" s="32"/>
    </row>
    <row r="22" spans="1:8" x14ac:dyDescent="0.15">
      <c r="A22" s="29" t="s">
        <v>64</v>
      </c>
      <c r="B22" s="33"/>
      <c r="C22" s="34" t="str">
        <f t="shared" si="0"/>
        <v/>
      </c>
      <c r="D22" s="35"/>
      <c r="E22" s="36"/>
      <c r="F22" s="14"/>
      <c r="G22" s="15"/>
      <c r="H22" s="15"/>
    </row>
    <row r="23" spans="1:8" x14ac:dyDescent="0.15">
      <c r="A23" s="27">
        <v>14</v>
      </c>
      <c r="B23" s="31"/>
      <c r="C23" s="25" t="str">
        <f t="shared" si="0"/>
        <v/>
      </c>
      <c r="D23" s="32"/>
    </row>
    <row r="24" spans="1:8" x14ac:dyDescent="0.15">
      <c r="B24" s="32">
        <v>45753</v>
      </c>
      <c r="C24" s="25" t="str">
        <f t="shared" si="0"/>
        <v>-</v>
      </c>
      <c r="D24" s="32">
        <v>45753</v>
      </c>
      <c r="E24" s="38">
        <v>2025</v>
      </c>
      <c r="F24" s="1" t="s">
        <v>83</v>
      </c>
    </row>
    <row r="25" spans="1:8" x14ac:dyDescent="0.15">
      <c r="A25" s="27">
        <v>15</v>
      </c>
      <c r="B25" s="31"/>
      <c r="C25" s="25" t="str">
        <f t="shared" si="0"/>
        <v/>
      </c>
      <c r="D25" s="32"/>
    </row>
    <row r="26" spans="1:8" x14ac:dyDescent="0.15">
      <c r="A26" s="27">
        <v>16</v>
      </c>
      <c r="B26" s="31"/>
      <c r="C26" s="25" t="str">
        <f t="shared" si="0"/>
        <v/>
      </c>
      <c r="D26" s="32"/>
    </row>
    <row r="27" spans="1:8" x14ac:dyDescent="0.15">
      <c r="B27" s="31">
        <v>45766</v>
      </c>
      <c r="C27" s="25" t="str">
        <f t="shared" si="0"/>
        <v>-</v>
      </c>
      <c r="D27" s="39">
        <v>45788</v>
      </c>
      <c r="E27" s="38">
        <v>2025</v>
      </c>
      <c r="F27" s="1" t="s">
        <v>0</v>
      </c>
    </row>
    <row r="28" spans="1:8" x14ac:dyDescent="0.15">
      <c r="A28" s="27">
        <v>17</v>
      </c>
      <c r="B28" s="31"/>
      <c r="C28" s="25" t="str">
        <f t="shared" si="0"/>
        <v/>
      </c>
      <c r="D28" s="32"/>
    </row>
    <row r="29" spans="1:8" x14ac:dyDescent="0.15">
      <c r="B29" s="31">
        <v>45772</v>
      </c>
      <c r="C29" s="25" t="str">
        <f t="shared" si="0"/>
        <v>-</v>
      </c>
      <c r="D29" s="32">
        <v>45774</v>
      </c>
      <c r="E29" s="38">
        <v>2025</v>
      </c>
      <c r="F29" s="1" t="s">
        <v>80</v>
      </c>
      <c r="G29" s="11" t="s">
        <v>82</v>
      </c>
      <c r="H29" s="1" t="s">
        <v>81</v>
      </c>
    </row>
    <row r="30" spans="1:8" x14ac:dyDescent="0.15">
      <c r="A30" s="29" t="s">
        <v>65</v>
      </c>
      <c r="B30" s="33"/>
      <c r="C30" s="34" t="str">
        <f t="shared" si="0"/>
        <v/>
      </c>
      <c r="D30" s="35"/>
      <c r="E30" s="36"/>
      <c r="F30" s="15"/>
      <c r="G30" s="15"/>
      <c r="H30" s="15"/>
    </row>
    <row r="31" spans="1:8" x14ac:dyDescent="0.15">
      <c r="A31" s="27">
        <v>18</v>
      </c>
      <c r="B31" s="31"/>
      <c r="C31" s="25" t="str">
        <f t="shared" si="0"/>
        <v/>
      </c>
      <c r="D31" s="32"/>
      <c r="F31" s="4"/>
    </row>
    <row r="32" spans="1:8" x14ac:dyDescent="0.15">
      <c r="B32" s="31">
        <v>45777</v>
      </c>
      <c r="C32" s="25" t="str">
        <f>IF(OR(B32&lt;&gt;"",D32&lt;&gt;""),"-","")</f>
        <v>-</v>
      </c>
      <c r="D32" s="32">
        <v>45782</v>
      </c>
      <c r="E32" s="38">
        <v>2025</v>
      </c>
      <c r="F32" s="4" t="s">
        <v>45</v>
      </c>
      <c r="G32" s="11" t="s">
        <v>46</v>
      </c>
    </row>
    <row r="33" spans="1:8" x14ac:dyDescent="0.15">
      <c r="A33" s="30"/>
      <c r="B33" s="31">
        <v>45778</v>
      </c>
      <c r="C33" s="25" t="str">
        <f>IF(OR(B33&lt;&gt;"",D33&lt;&gt;""),"-","")</f>
        <v>-</v>
      </c>
      <c r="D33" s="32">
        <v>45781</v>
      </c>
      <c r="E33" s="38">
        <v>2025</v>
      </c>
      <c r="F33" s="4" t="s">
        <v>8</v>
      </c>
    </row>
    <row r="34" spans="1:8" x14ac:dyDescent="0.15">
      <c r="A34" s="27">
        <v>19</v>
      </c>
      <c r="B34" s="31"/>
      <c r="C34" s="25" t="str">
        <f t="shared" si="0"/>
        <v/>
      </c>
      <c r="D34" s="32"/>
      <c r="F34" s="4"/>
    </row>
    <row r="35" spans="1:8" x14ac:dyDescent="0.15">
      <c r="B35" s="31">
        <v>45786</v>
      </c>
      <c r="C35" s="25"/>
      <c r="D35" s="39">
        <v>45872</v>
      </c>
      <c r="E35" s="38">
        <v>2025</v>
      </c>
      <c r="F35" s="4" t="s">
        <v>161</v>
      </c>
      <c r="G35" s="11" t="s">
        <v>162</v>
      </c>
      <c r="H35" s="11" t="s">
        <v>165</v>
      </c>
    </row>
    <row r="36" spans="1:8" x14ac:dyDescent="0.15">
      <c r="A36" s="30"/>
      <c r="B36" s="31">
        <v>45787</v>
      </c>
      <c r="C36" s="25" t="str">
        <f t="shared" si="0"/>
        <v>-</v>
      </c>
      <c r="D36" s="32">
        <v>45788</v>
      </c>
      <c r="E36" s="38">
        <v>2025</v>
      </c>
      <c r="F36" s="4" t="s">
        <v>9</v>
      </c>
    </row>
    <row r="37" spans="1:8" x14ac:dyDescent="0.15">
      <c r="A37" s="30"/>
      <c r="B37" s="31">
        <v>45787</v>
      </c>
      <c r="C37" s="25" t="str">
        <f t="shared" si="0"/>
        <v>-</v>
      </c>
      <c r="D37" s="32">
        <v>45788</v>
      </c>
      <c r="E37" s="38">
        <v>2025</v>
      </c>
      <c r="F37" s="4" t="s">
        <v>84</v>
      </c>
      <c r="G37" s="1" t="s">
        <v>85</v>
      </c>
    </row>
    <row r="38" spans="1:8" x14ac:dyDescent="0.15">
      <c r="A38" s="30"/>
      <c r="B38" s="31">
        <v>45787</v>
      </c>
      <c r="C38" s="25" t="str">
        <f t="shared" si="0"/>
        <v>-</v>
      </c>
      <c r="D38" s="32">
        <v>45788</v>
      </c>
      <c r="E38" s="38">
        <v>2025</v>
      </c>
      <c r="F38" s="4" t="s">
        <v>143</v>
      </c>
      <c r="G38" s="11" t="s">
        <v>142</v>
      </c>
    </row>
    <row r="39" spans="1:8" x14ac:dyDescent="0.15">
      <c r="A39" s="27">
        <v>20</v>
      </c>
      <c r="B39" s="31"/>
      <c r="C39" s="25" t="str">
        <f t="shared" si="0"/>
        <v/>
      </c>
      <c r="D39" s="32"/>
      <c r="F39" s="4"/>
    </row>
    <row r="40" spans="1:8" x14ac:dyDescent="0.15">
      <c r="A40" s="30"/>
      <c r="B40" s="31">
        <v>45793</v>
      </c>
      <c r="C40" s="25" t="str">
        <f>IF(OR(B40&lt;&gt;"",D40&lt;&gt;""),"-","")</f>
        <v>-</v>
      </c>
      <c r="D40" s="32">
        <v>45794</v>
      </c>
      <c r="E40" s="38">
        <v>2025</v>
      </c>
      <c r="F40" s="1" t="s">
        <v>48</v>
      </c>
    </row>
    <row r="41" spans="1:8" x14ac:dyDescent="0.15">
      <c r="B41" s="31">
        <v>45794</v>
      </c>
      <c r="C41" s="25"/>
      <c r="D41" s="32"/>
      <c r="E41" s="38">
        <v>2025</v>
      </c>
      <c r="F41" s="4" t="s">
        <v>38</v>
      </c>
      <c r="G41" s="11" t="s">
        <v>37</v>
      </c>
    </row>
    <row r="42" spans="1:8" x14ac:dyDescent="0.15">
      <c r="A42" s="30"/>
      <c r="B42" s="31">
        <v>45794</v>
      </c>
      <c r="C42" s="25" t="str">
        <f>IF(OR(B42&lt;&gt;"",D42&lt;&gt;""),"-","")</f>
        <v>-</v>
      </c>
      <c r="D42" s="32">
        <v>45795</v>
      </c>
      <c r="E42" s="38">
        <v>2025</v>
      </c>
      <c r="F42" s="4" t="s">
        <v>160</v>
      </c>
      <c r="G42" s="46" t="s">
        <v>159</v>
      </c>
    </row>
    <row r="43" spans="1:8" x14ac:dyDescent="0.15">
      <c r="A43" s="27">
        <v>21</v>
      </c>
      <c r="B43" s="31"/>
      <c r="C43" s="25" t="str">
        <f t="shared" si="0"/>
        <v/>
      </c>
      <c r="D43" s="32"/>
      <c r="F43" s="4"/>
    </row>
    <row r="44" spans="1:8" x14ac:dyDescent="0.15">
      <c r="B44" s="31">
        <v>45799</v>
      </c>
      <c r="C44" s="25" t="str">
        <f>IF(OR(B44&lt;&gt;"",D44&lt;&gt;""),"-","")</f>
        <v>-</v>
      </c>
      <c r="D44" s="32">
        <v>45801</v>
      </c>
      <c r="E44" s="38">
        <v>2025</v>
      </c>
      <c r="F44" s="4" t="s">
        <v>34</v>
      </c>
    </row>
    <row r="45" spans="1:8" x14ac:dyDescent="0.15">
      <c r="B45" s="31">
        <v>45799</v>
      </c>
      <c r="C45" s="25" t="str">
        <f t="shared" si="0"/>
        <v>-</v>
      </c>
      <c r="D45" s="32">
        <v>45802</v>
      </c>
      <c r="E45" s="38">
        <v>2025</v>
      </c>
      <c r="F45" s="4" t="s">
        <v>96</v>
      </c>
      <c r="G45" s="11" t="s">
        <v>97</v>
      </c>
    </row>
    <row r="46" spans="1:8" x14ac:dyDescent="0.15">
      <c r="A46" s="30"/>
      <c r="B46" s="31">
        <v>45800</v>
      </c>
      <c r="C46" s="25" t="str">
        <f t="shared" si="0"/>
        <v>-</v>
      </c>
      <c r="D46" s="32">
        <v>45802</v>
      </c>
      <c r="E46" s="38">
        <v>2025</v>
      </c>
      <c r="F46" s="4" t="s">
        <v>32</v>
      </c>
    </row>
    <row r="47" spans="1:8" x14ac:dyDescent="0.15">
      <c r="B47" s="31">
        <v>45802</v>
      </c>
      <c r="C47" s="25" t="str">
        <f t="shared" si="0"/>
        <v>-</v>
      </c>
      <c r="D47" s="31">
        <v>45802</v>
      </c>
      <c r="E47" s="38">
        <v>2025</v>
      </c>
      <c r="F47" s="4" t="s">
        <v>109</v>
      </c>
    </row>
    <row r="48" spans="1:8" x14ac:dyDescent="0.15">
      <c r="A48" s="29" t="s">
        <v>66</v>
      </c>
      <c r="B48" s="33"/>
      <c r="C48" s="34" t="str">
        <f t="shared" si="0"/>
        <v/>
      </c>
      <c r="D48" s="35"/>
      <c r="E48" s="36"/>
      <c r="F48" s="12"/>
      <c r="G48" s="15"/>
      <c r="H48" s="15"/>
    </row>
    <row r="49" spans="1:8" x14ac:dyDescent="0.15">
      <c r="A49" s="27">
        <v>22</v>
      </c>
      <c r="B49" s="31"/>
      <c r="C49" s="25" t="str">
        <f t="shared" si="0"/>
        <v/>
      </c>
      <c r="D49" s="32"/>
      <c r="F49" s="4"/>
      <c r="G49" s="11"/>
    </row>
    <row r="50" spans="1:8" x14ac:dyDescent="0.15">
      <c r="B50" s="31">
        <v>45805</v>
      </c>
      <c r="C50" s="25" t="str">
        <f t="shared" si="0"/>
        <v>-</v>
      </c>
      <c r="D50" s="39">
        <v>45816</v>
      </c>
      <c r="E50" s="38">
        <v>2025</v>
      </c>
      <c r="F50" s="4" t="s">
        <v>164</v>
      </c>
      <c r="G50" s="11" t="s">
        <v>162</v>
      </c>
      <c r="H50" s="11" t="s">
        <v>163</v>
      </c>
    </row>
    <row r="51" spans="1:8" x14ac:dyDescent="0.15">
      <c r="B51" s="31">
        <v>45806</v>
      </c>
      <c r="C51" s="25" t="str">
        <f t="shared" si="0"/>
        <v>-</v>
      </c>
      <c r="D51" s="32">
        <v>45809</v>
      </c>
      <c r="E51" s="38">
        <v>2025</v>
      </c>
      <c r="F51" s="4" t="s">
        <v>107</v>
      </c>
      <c r="G51" s="11" t="s">
        <v>106</v>
      </c>
    </row>
    <row r="52" spans="1:8" x14ac:dyDescent="0.15">
      <c r="B52" s="31">
        <v>45806</v>
      </c>
      <c r="C52" s="25" t="str">
        <f t="shared" si="0"/>
        <v>-</v>
      </c>
      <c r="D52" s="32">
        <v>45809</v>
      </c>
      <c r="E52" s="38">
        <v>2025</v>
      </c>
      <c r="F52" s="4" t="s">
        <v>129</v>
      </c>
      <c r="G52" s="11" t="s">
        <v>130</v>
      </c>
    </row>
    <row r="53" spans="1:8" x14ac:dyDescent="0.15">
      <c r="A53" s="27">
        <v>23</v>
      </c>
      <c r="B53" s="31"/>
      <c r="C53" s="25" t="str">
        <f t="shared" si="0"/>
        <v/>
      </c>
      <c r="D53" s="32"/>
      <c r="F53" s="5"/>
    </row>
    <row r="54" spans="1:8" x14ac:dyDescent="0.15">
      <c r="B54" s="31">
        <v>45814</v>
      </c>
      <c r="C54" s="25" t="str">
        <f t="shared" si="0"/>
        <v>-</v>
      </c>
      <c r="D54" s="32">
        <v>45816</v>
      </c>
      <c r="E54" s="38">
        <v>2025</v>
      </c>
      <c r="F54" s="4" t="s">
        <v>54</v>
      </c>
      <c r="G54" s="11" t="s">
        <v>166</v>
      </c>
    </row>
    <row r="55" spans="1:8" x14ac:dyDescent="0.15">
      <c r="A55" s="27">
        <v>24</v>
      </c>
      <c r="B55" s="31"/>
      <c r="C55" s="25" t="str">
        <f t="shared" si="0"/>
        <v/>
      </c>
      <c r="D55" s="32"/>
      <c r="F55" s="4"/>
    </row>
    <row r="56" spans="1:8" x14ac:dyDescent="0.15">
      <c r="B56" s="31">
        <v>45821</v>
      </c>
      <c r="C56" s="25" t="str">
        <f t="shared" si="0"/>
        <v>-</v>
      </c>
      <c r="D56" s="32">
        <v>45823</v>
      </c>
      <c r="E56" s="38">
        <v>2025</v>
      </c>
      <c r="F56" s="8" t="s">
        <v>29</v>
      </c>
    </row>
    <row r="57" spans="1:8" x14ac:dyDescent="0.15">
      <c r="B57" s="31">
        <v>45821</v>
      </c>
      <c r="C57" s="25" t="str">
        <f>IF(OR(B57&lt;&gt;"",D57&lt;&gt;""),"-","")</f>
        <v>-</v>
      </c>
      <c r="D57" s="32">
        <v>45823</v>
      </c>
      <c r="E57" s="38">
        <v>2025</v>
      </c>
      <c r="F57" s="21" t="s">
        <v>182</v>
      </c>
    </row>
    <row r="58" spans="1:8" x14ac:dyDescent="0.15">
      <c r="B58" s="31">
        <v>45822</v>
      </c>
      <c r="C58" s="25" t="str">
        <f>IF(OR(B58&lt;&gt;"",D58&lt;&gt;""),"-","")</f>
        <v>-</v>
      </c>
      <c r="D58" s="32">
        <v>45823</v>
      </c>
      <c r="E58" s="38">
        <v>2025</v>
      </c>
      <c r="F58" s="47" t="s">
        <v>181</v>
      </c>
    </row>
    <row r="59" spans="1:8" x14ac:dyDescent="0.15">
      <c r="A59" s="27">
        <v>25</v>
      </c>
      <c r="B59" s="31"/>
      <c r="C59" s="25" t="str">
        <f t="shared" si="0"/>
        <v/>
      </c>
      <c r="D59" s="32"/>
      <c r="F59" s="4"/>
    </row>
    <row r="60" spans="1:8" x14ac:dyDescent="0.15">
      <c r="B60" s="31">
        <v>45827</v>
      </c>
      <c r="C60" s="25" t="str">
        <f t="shared" si="0"/>
        <v>-</v>
      </c>
      <c r="D60" s="32">
        <v>45829</v>
      </c>
      <c r="E60" s="38">
        <v>2025</v>
      </c>
      <c r="F60" s="1" t="s">
        <v>110</v>
      </c>
    </row>
    <row r="61" spans="1:8" x14ac:dyDescent="0.15">
      <c r="B61" s="31">
        <v>45828</v>
      </c>
      <c r="C61" s="25" t="str">
        <f t="shared" si="0"/>
        <v>-</v>
      </c>
      <c r="D61" s="32">
        <v>45830</v>
      </c>
      <c r="E61" s="38">
        <v>2025</v>
      </c>
      <c r="F61" s="1" t="s">
        <v>183</v>
      </c>
      <c r="G61" s="11" t="s">
        <v>184</v>
      </c>
    </row>
    <row r="62" spans="1:8" x14ac:dyDescent="0.15">
      <c r="A62" s="27">
        <v>26</v>
      </c>
      <c r="B62" s="31"/>
      <c r="C62" s="25" t="str">
        <f t="shared" si="0"/>
        <v/>
      </c>
      <c r="D62" s="32"/>
      <c r="F62" s="4"/>
    </row>
    <row r="63" spans="1:8" x14ac:dyDescent="0.15">
      <c r="A63" s="30"/>
      <c r="B63" s="31">
        <v>45835</v>
      </c>
      <c r="C63" s="25" t="str">
        <f t="shared" si="0"/>
        <v>-</v>
      </c>
      <c r="D63" s="32">
        <v>45837</v>
      </c>
      <c r="E63" s="38">
        <v>2025</v>
      </c>
      <c r="F63" s="20" t="s">
        <v>131</v>
      </c>
    </row>
    <row r="64" spans="1:8" x14ac:dyDescent="0.15">
      <c r="B64" s="31">
        <v>45835</v>
      </c>
      <c r="C64" s="25" t="str">
        <f>IF(OR(B64&lt;&gt;"",D64&lt;&gt;""),"-","")</f>
        <v>-</v>
      </c>
      <c r="D64" s="32">
        <v>45838</v>
      </c>
      <c r="E64" s="38">
        <v>2025</v>
      </c>
      <c r="F64" s="20" t="s">
        <v>1</v>
      </c>
      <c r="G64" s="11" t="s">
        <v>168</v>
      </c>
    </row>
    <row r="65" spans="1:9" x14ac:dyDescent="0.15">
      <c r="B65" s="31">
        <v>45836</v>
      </c>
      <c r="C65" s="25"/>
      <c r="D65" s="31"/>
      <c r="E65" s="38">
        <v>2025</v>
      </c>
      <c r="F65" s="4" t="s">
        <v>167</v>
      </c>
    </row>
    <row r="66" spans="1:9" x14ac:dyDescent="0.15">
      <c r="B66" s="31">
        <v>45836</v>
      </c>
      <c r="C66" s="25" t="str">
        <f>IF(OR(B66&lt;&gt;"",D66&lt;&gt;""),"-","")</f>
        <v>-</v>
      </c>
      <c r="D66" s="32">
        <v>45837</v>
      </c>
      <c r="E66" s="38">
        <v>2025</v>
      </c>
      <c r="F66" s="4" t="s">
        <v>50</v>
      </c>
      <c r="H66" s="1" t="s">
        <v>49</v>
      </c>
      <c r="I66" s="1" t="s">
        <v>51</v>
      </c>
    </row>
    <row r="67" spans="1:9" x14ac:dyDescent="0.15">
      <c r="B67" s="31">
        <v>45836</v>
      </c>
      <c r="C67" s="25" t="str">
        <f>IF(OR(B67&lt;&gt;"",D67&lt;&gt;""),"-","")</f>
        <v>-</v>
      </c>
      <c r="D67" s="32">
        <v>45837</v>
      </c>
      <c r="E67" s="38">
        <v>2025</v>
      </c>
      <c r="F67" s="4" t="s">
        <v>185</v>
      </c>
    </row>
    <row r="68" spans="1:9" x14ac:dyDescent="0.15">
      <c r="B68" s="31">
        <v>45898</v>
      </c>
      <c r="C68" s="25" t="str">
        <f t="shared" si="0"/>
        <v>-</v>
      </c>
      <c r="D68" s="32">
        <v>45898</v>
      </c>
      <c r="E68" s="38">
        <v>2025</v>
      </c>
      <c r="F68" s="4" t="s">
        <v>91</v>
      </c>
      <c r="G68" s="11"/>
    </row>
    <row r="69" spans="1:9" x14ac:dyDescent="0.15">
      <c r="A69" s="29" t="s">
        <v>67</v>
      </c>
      <c r="B69" s="33"/>
      <c r="C69" s="34" t="str">
        <f t="shared" si="0"/>
        <v/>
      </c>
      <c r="D69" s="35"/>
      <c r="E69" s="36"/>
      <c r="F69" s="15"/>
      <c r="G69" s="15"/>
      <c r="H69" s="15"/>
    </row>
    <row r="70" spans="1:9" x14ac:dyDescent="0.15">
      <c r="A70" s="27">
        <v>27</v>
      </c>
      <c r="B70" s="31"/>
      <c r="C70" s="25" t="str">
        <f t="shared" si="0"/>
        <v/>
      </c>
      <c r="D70" s="32"/>
    </row>
    <row r="71" spans="1:9" x14ac:dyDescent="0.15">
      <c r="B71" s="31">
        <v>45841</v>
      </c>
      <c r="C71" s="25" t="str">
        <f t="shared" si="0"/>
        <v>-</v>
      </c>
      <c r="D71" s="32">
        <v>45845</v>
      </c>
      <c r="E71" s="38">
        <v>2025</v>
      </c>
      <c r="F71" s="16" t="s">
        <v>86</v>
      </c>
    </row>
    <row r="72" spans="1:9" x14ac:dyDescent="0.15">
      <c r="A72" s="30"/>
      <c r="B72" s="31"/>
      <c r="C72" s="25" t="str">
        <f t="shared" si="0"/>
        <v/>
      </c>
      <c r="D72" s="32"/>
      <c r="E72" s="38">
        <v>2025</v>
      </c>
      <c r="F72" s="16" t="s">
        <v>87</v>
      </c>
    </row>
    <row r="73" spans="1:9" x14ac:dyDescent="0.15">
      <c r="A73" s="30"/>
      <c r="B73" s="31">
        <v>45842</v>
      </c>
      <c r="C73" s="25" t="str">
        <f t="shared" si="0"/>
        <v>-</v>
      </c>
      <c r="D73" s="32">
        <v>45844</v>
      </c>
      <c r="E73" s="38">
        <v>2025</v>
      </c>
      <c r="F73" s="4" t="s">
        <v>92</v>
      </c>
    </row>
    <row r="74" spans="1:9" x14ac:dyDescent="0.15">
      <c r="A74" s="30"/>
      <c r="B74" s="31">
        <v>45842</v>
      </c>
      <c r="C74" s="25" t="str">
        <f t="shared" ref="C74" si="2">IF(OR(B74&lt;&gt;"",D74&lt;&gt;""),"-","")</f>
        <v>-</v>
      </c>
      <c r="D74" s="32">
        <v>45844</v>
      </c>
      <c r="E74" s="38">
        <v>2025</v>
      </c>
      <c r="F74" s="4" t="s">
        <v>186</v>
      </c>
    </row>
    <row r="75" spans="1:9" x14ac:dyDescent="0.15">
      <c r="B75" s="31">
        <v>45843</v>
      </c>
      <c r="C75" s="25" t="str">
        <f>IF(OR(B75&lt;&gt;"",D75&lt;&gt;""),"-","")</f>
        <v>-</v>
      </c>
      <c r="D75" s="32">
        <v>45843</v>
      </c>
      <c r="E75" s="38">
        <v>2025</v>
      </c>
      <c r="F75" s="4" t="s">
        <v>111</v>
      </c>
      <c r="G75" s="11" t="s">
        <v>35</v>
      </c>
    </row>
    <row r="76" spans="1:9" x14ac:dyDescent="0.15">
      <c r="A76" s="30"/>
      <c r="B76" s="31">
        <v>45842</v>
      </c>
      <c r="C76" s="25" t="str">
        <f t="shared" si="0"/>
        <v>-</v>
      </c>
      <c r="D76" s="32">
        <v>45844</v>
      </c>
      <c r="E76" s="38">
        <v>2025</v>
      </c>
      <c r="F76" s="4" t="s">
        <v>28</v>
      </c>
    </row>
    <row r="77" spans="1:9" x14ac:dyDescent="0.15">
      <c r="B77" s="31">
        <v>45843</v>
      </c>
      <c r="C77" s="25"/>
      <c r="D77" s="32"/>
      <c r="E77" s="38">
        <v>2025</v>
      </c>
      <c r="F77" s="4" t="s">
        <v>55</v>
      </c>
      <c r="G77" s="11" t="s">
        <v>172</v>
      </c>
    </row>
    <row r="78" spans="1:9" x14ac:dyDescent="0.15">
      <c r="A78" s="30"/>
      <c r="B78" s="31">
        <v>45842</v>
      </c>
      <c r="C78" s="25" t="str">
        <f>IF(OR(B78&lt;&gt;"",D78&lt;&gt;""),"-","")</f>
        <v>-</v>
      </c>
      <c r="D78" s="32">
        <v>45844</v>
      </c>
      <c r="E78" s="38">
        <v>2025</v>
      </c>
      <c r="F78" s="4" t="s">
        <v>124</v>
      </c>
      <c r="G78" s="11" t="s">
        <v>171</v>
      </c>
    </row>
    <row r="79" spans="1:9" x14ac:dyDescent="0.15">
      <c r="A79" s="30"/>
      <c r="B79" s="31">
        <v>45842</v>
      </c>
      <c r="C79" s="25" t="str">
        <f>IF(OR(B79&lt;&gt;"",D79&lt;&gt;""),"-","")</f>
        <v>-</v>
      </c>
      <c r="D79" s="39">
        <v>45851</v>
      </c>
      <c r="E79" s="38">
        <v>2025</v>
      </c>
      <c r="F79" s="4" t="s">
        <v>36</v>
      </c>
    </row>
    <row r="80" spans="1:9" x14ac:dyDescent="0.15">
      <c r="A80" s="27">
        <v>28</v>
      </c>
      <c r="B80" s="31"/>
      <c r="C80" s="25" t="str">
        <f t="shared" ref="C80:C147" si="3">IF(OR(B80&lt;&gt;"",D80&lt;&gt;""),"-","")</f>
        <v/>
      </c>
      <c r="D80" s="32"/>
      <c r="F80" s="4"/>
    </row>
    <row r="81" spans="1:7" x14ac:dyDescent="0.15">
      <c r="B81" s="31">
        <v>45849</v>
      </c>
      <c r="C81" s="25" t="str">
        <f t="shared" si="3"/>
        <v>-</v>
      </c>
      <c r="D81" s="32">
        <v>45850</v>
      </c>
      <c r="E81" s="38">
        <v>2025</v>
      </c>
      <c r="F81" s="4" t="s">
        <v>47</v>
      </c>
    </row>
    <row r="82" spans="1:7" x14ac:dyDescent="0.15">
      <c r="B82" s="31">
        <v>45850</v>
      </c>
      <c r="C82" s="25" t="str">
        <f>IF(OR(B82&lt;&gt;"",D82&lt;&gt;""),"-","")</f>
        <v>-</v>
      </c>
      <c r="D82" s="32">
        <v>45850</v>
      </c>
      <c r="E82" s="38">
        <v>2025</v>
      </c>
      <c r="F82" s="20" t="s">
        <v>26</v>
      </c>
      <c r="G82" s="11" t="s">
        <v>100</v>
      </c>
    </row>
    <row r="83" spans="1:7" x14ac:dyDescent="0.15">
      <c r="B83" s="31">
        <v>45848</v>
      </c>
      <c r="C83" s="25" t="str">
        <f t="shared" si="3"/>
        <v>-</v>
      </c>
      <c r="D83" s="32">
        <v>45851</v>
      </c>
      <c r="E83" s="38">
        <v>2025</v>
      </c>
      <c r="F83" s="4" t="s">
        <v>114</v>
      </c>
      <c r="G83" s="11" t="s">
        <v>113</v>
      </c>
    </row>
    <row r="84" spans="1:7" x14ac:dyDescent="0.15">
      <c r="A84" s="30"/>
      <c r="B84" s="31">
        <v>45849</v>
      </c>
      <c r="C84" s="25" t="str">
        <f>IF(OR(B84&lt;&gt;"",D84&lt;&gt;""),"-","")</f>
        <v>-</v>
      </c>
      <c r="D84" s="32">
        <v>45851</v>
      </c>
      <c r="E84" s="38">
        <v>2025</v>
      </c>
      <c r="F84" s="4" t="s">
        <v>93</v>
      </c>
    </row>
    <row r="85" spans="1:7" x14ac:dyDescent="0.15">
      <c r="B85" s="31">
        <v>45849</v>
      </c>
      <c r="C85" s="25" t="str">
        <f t="shared" si="3"/>
        <v>-</v>
      </c>
      <c r="D85" s="32">
        <v>45851</v>
      </c>
      <c r="E85" s="38">
        <v>2025</v>
      </c>
      <c r="F85" s="8" t="s">
        <v>30</v>
      </c>
      <c r="G85" s="11" t="s">
        <v>115</v>
      </c>
    </row>
    <row r="86" spans="1:7" x14ac:dyDescent="0.15">
      <c r="B86" s="31">
        <v>45848</v>
      </c>
      <c r="C86" s="25" t="str">
        <f>IF(OR(B86&lt;&gt;"",D86&lt;&gt;""),"-","")</f>
        <v>-</v>
      </c>
      <c r="D86" s="39">
        <v>45858</v>
      </c>
      <c r="E86" s="38">
        <v>2025</v>
      </c>
      <c r="F86" s="20" t="s">
        <v>31</v>
      </c>
      <c r="G86" s="11" t="s">
        <v>98</v>
      </c>
    </row>
    <row r="87" spans="1:7" x14ac:dyDescent="0.15">
      <c r="A87" s="27">
        <v>29</v>
      </c>
      <c r="B87" s="31"/>
      <c r="C87" s="25" t="str">
        <f t="shared" si="3"/>
        <v/>
      </c>
      <c r="D87" s="32"/>
      <c r="F87" s="8"/>
      <c r="G87" s="1" t="s">
        <v>99</v>
      </c>
    </row>
    <row r="88" spans="1:7" x14ac:dyDescent="0.15">
      <c r="B88" s="31">
        <v>45853</v>
      </c>
      <c r="C88" s="25" t="str">
        <f>IF(OR(B88&lt;&gt;"",D88&lt;&gt;""),"-","")</f>
        <v>-</v>
      </c>
      <c r="D88" s="32">
        <v>45858</v>
      </c>
      <c r="E88" s="38">
        <v>2025</v>
      </c>
      <c r="F88" s="4" t="s">
        <v>25</v>
      </c>
    </row>
    <row r="89" spans="1:7" x14ac:dyDescent="0.15">
      <c r="B89" s="31">
        <v>45885</v>
      </c>
      <c r="C89" s="25" t="str">
        <f>IF(OR(B89&lt;&gt;"",D89&lt;&gt;""),"-","")</f>
        <v>-</v>
      </c>
      <c r="D89" s="31">
        <v>45885</v>
      </c>
      <c r="E89" s="38">
        <v>2025</v>
      </c>
      <c r="F89" s="4" t="s">
        <v>169</v>
      </c>
      <c r="G89" s="11" t="s">
        <v>170</v>
      </c>
    </row>
    <row r="90" spans="1:7" x14ac:dyDescent="0.15">
      <c r="B90" s="31">
        <v>45856</v>
      </c>
      <c r="C90" s="25"/>
      <c r="D90" s="32"/>
      <c r="E90" s="38">
        <v>2025</v>
      </c>
      <c r="F90" s="4" t="s">
        <v>117</v>
      </c>
      <c r="G90" s="11" t="s">
        <v>116</v>
      </c>
    </row>
    <row r="91" spans="1:7" x14ac:dyDescent="0.15">
      <c r="B91" s="31">
        <v>45857</v>
      </c>
      <c r="C91" s="25" t="str">
        <f>IF(OR(B91&lt;&gt;"",D91&lt;&gt;""),"-","")</f>
        <v>-</v>
      </c>
      <c r="D91" s="32">
        <v>45857</v>
      </c>
      <c r="E91" s="38">
        <v>2025</v>
      </c>
      <c r="F91" s="4" t="s">
        <v>119</v>
      </c>
      <c r="G91" s="11" t="s">
        <v>118</v>
      </c>
    </row>
    <row r="92" spans="1:7" x14ac:dyDescent="0.15">
      <c r="A92" s="27">
        <v>30</v>
      </c>
      <c r="B92" s="31"/>
      <c r="C92" s="25" t="str">
        <f t="shared" si="3"/>
        <v/>
      </c>
      <c r="D92" s="32"/>
      <c r="F92" s="4"/>
    </row>
    <row r="93" spans="1:7" x14ac:dyDescent="0.15">
      <c r="A93" s="30"/>
      <c r="B93" s="31">
        <v>45861</v>
      </c>
      <c r="C93" s="25" t="str">
        <f t="shared" si="3"/>
        <v>-</v>
      </c>
      <c r="D93" s="32">
        <v>45865</v>
      </c>
      <c r="E93" s="38">
        <v>2025</v>
      </c>
      <c r="F93" s="4" t="s">
        <v>94</v>
      </c>
    </row>
    <row r="94" spans="1:7" x14ac:dyDescent="0.15">
      <c r="A94" s="30"/>
      <c r="B94" s="31">
        <v>45862</v>
      </c>
      <c r="C94" s="25" t="str">
        <f>IF(OR(B94&lt;&gt;"",D94&lt;&gt;""),"-","")</f>
        <v>-</v>
      </c>
      <c r="D94" s="32">
        <v>45865</v>
      </c>
      <c r="E94" s="37">
        <v>2026</v>
      </c>
      <c r="F94" s="4" t="s">
        <v>57</v>
      </c>
      <c r="G94" s="11" t="s">
        <v>58</v>
      </c>
    </row>
    <row r="95" spans="1:7" x14ac:dyDescent="0.15">
      <c r="B95" s="31">
        <v>45862</v>
      </c>
      <c r="C95" s="25" t="str">
        <f>IF(OR(B95&lt;&gt;"",D95&lt;&gt;""),"-","")</f>
        <v>-</v>
      </c>
      <c r="D95" s="32">
        <v>45864</v>
      </c>
      <c r="E95" s="38">
        <v>2025</v>
      </c>
      <c r="F95" s="4" t="s">
        <v>27</v>
      </c>
    </row>
    <row r="96" spans="1:7" x14ac:dyDescent="0.15">
      <c r="B96" s="31"/>
      <c r="C96" s="25"/>
      <c r="D96" s="32"/>
      <c r="F96" s="4"/>
    </row>
    <row r="97" spans="1:9" x14ac:dyDescent="0.15">
      <c r="A97" s="29" t="s">
        <v>68</v>
      </c>
      <c r="B97" s="33"/>
      <c r="C97" s="34" t="str">
        <f t="shared" si="3"/>
        <v/>
      </c>
      <c r="D97" s="35"/>
      <c r="E97" s="36"/>
      <c r="F97" s="15"/>
      <c r="G97" s="15"/>
      <c r="H97" s="15"/>
    </row>
    <row r="98" spans="1:9" x14ac:dyDescent="0.15">
      <c r="A98" s="27">
        <v>31</v>
      </c>
      <c r="B98" s="31"/>
      <c r="C98" s="25" t="str">
        <f t="shared" si="3"/>
        <v/>
      </c>
      <c r="D98" s="32"/>
      <c r="F98" s="4"/>
    </row>
    <row r="99" spans="1:9" x14ac:dyDescent="0.15">
      <c r="B99" s="31">
        <v>45869</v>
      </c>
      <c r="C99" s="25" t="str">
        <f>IF(OR(B99&lt;&gt;"",D99&lt;&gt;""),"-","")</f>
        <v>-</v>
      </c>
      <c r="D99" s="32">
        <v>45872</v>
      </c>
      <c r="E99" s="38">
        <v>2025</v>
      </c>
      <c r="F99" s="1" t="s">
        <v>17</v>
      </c>
      <c r="G99" s="11" t="s">
        <v>127</v>
      </c>
    </row>
    <row r="100" spans="1:9" x14ac:dyDescent="0.15">
      <c r="B100" s="31">
        <v>45870</v>
      </c>
      <c r="C100" s="25" t="str">
        <f t="shared" si="3"/>
        <v>-</v>
      </c>
      <c r="D100" s="39">
        <v>45882</v>
      </c>
      <c r="E100" s="38">
        <v>2025</v>
      </c>
      <c r="F100" s="4" t="s">
        <v>23</v>
      </c>
      <c r="G100" s="11" t="s">
        <v>120</v>
      </c>
    </row>
    <row r="101" spans="1:9" x14ac:dyDescent="0.15">
      <c r="B101" s="31"/>
      <c r="C101" s="25" t="str">
        <f t="shared" si="3"/>
        <v/>
      </c>
      <c r="D101" s="32"/>
      <c r="E101" s="38">
        <v>2025</v>
      </c>
      <c r="F101" s="13" t="s">
        <v>108</v>
      </c>
    </row>
    <row r="102" spans="1:9" x14ac:dyDescent="0.15">
      <c r="A102" s="27">
        <v>32</v>
      </c>
      <c r="B102" s="31"/>
      <c r="C102" s="25" t="str">
        <f t="shared" si="3"/>
        <v/>
      </c>
      <c r="D102" s="32"/>
      <c r="F102" s="4"/>
    </row>
    <row r="103" spans="1:9" x14ac:dyDescent="0.15">
      <c r="B103" s="31">
        <v>45876</v>
      </c>
      <c r="C103" s="25"/>
      <c r="D103" s="32"/>
      <c r="E103" s="38">
        <v>2025</v>
      </c>
      <c r="F103" s="4" t="s">
        <v>194</v>
      </c>
      <c r="G103" s="11" t="s">
        <v>195</v>
      </c>
    </row>
    <row r="104" spans="1:9" x14ac:dyDescent="0.15">
      <c r="B104" s="31">
        <v>45876</v>
      </c>
      <c r="C104" s="25" t="str">
        <f t="shared" si="3"/>
        <v>-</v>
      </c>
      <c r="D104" s="32">
        <v>45879</v>
      </c>
      <c r="E104" s="38">
        <v>2025</v>
      </c>
      <c r="F104" s="18" t="s">
        <v>88</v>
      </c>
    </row>
    <row r="105" spans="1:9" x14ac:dyDescent="0.15">
      <c r="B105" s="31">
        <v>45875</v>
      </c>
      <c r="C105" s="25" t="str">
        <f t="shared" si="3"/>
        <v>-</v>
      </c>
      <c r="D105" s="32">
        <v>45877</v>
      </c>
      <c r="E105" s="38">
        <v>2025</v>
      </c>
      <c r="F105" s="20" t="s">
        <v>52</v>
      </c>
    </row>
    <row r="106" spans="1:9" x14ac:dyDescent="0.15">
      <c r="A106" s="30"/>
      <c r="B106" s="31">
        <v>45878</v>
      </c>
      <c r="C106" s="25"/>
      <c r="D106" s="32"/>
      <c r="E106" s="38">
        <v>2025</v>
      </c>
      <c r="F106" s="20" t="s">
        <v>53</v>
      </c>
      <c r="I106" s="1" t="s">
        <v>202</v>
      </c>
    </row>
    <row r="107" spans="1:9" x14ac:dyDescent="0.15">
      <c r="B107" s="31">
        <v>45877</v>
      </c>
      <c r="C107" s="25" t="str">
        <f t="shared" si="3"/>
        <v>-</v>
      </c>
      <c r="D107" s="32">
        <v>45879</v>
      </c>
      <c r="E107" s="38">
        <v>2025</v>
      </c>
      <c r="F107" s="4" t="s">
        <v>24</v>
      </c>
      <c r="G107" s="11" t="s">
        <v>101</v>
      </c>
    </row>
    <row r="108" spans="1:9" x14ac:dyDescent="0.15">
      <c r="A108" s="30"/>
      <c r="B108" s="31">
        <v>45878</v>
      </c>
      <c r="C108" s="25" t="str">
        <f>IF(OR(B108&lt;&gt;"",D108&lt;&gt;""),"-","")</f>
        <v>-</v>
      </c>
      <c r="D108" s="32">
        <v>45879</v>
      </c>
      <c r="E108" s="38">
        <v>2025</v>
      </c>
      <c r="F108" s="4" t="s">
        <v>112</v>
      </c>
    </row>
    <row r="109" spans="1:9" x14ac:dyDescent="0.15">
      <c r="B109" s="31">
        <v>45876</v>
      </c>
      <c r="C109" s="25" t="str">
        <f t="shared" si="3"/>
        <v>-</v>
      </c>
      <c r="D109" s="39">
        <v>45892</v>
      </c>
      <c r="E109" s="38">
        <v>2025</v>
      </c>
      <c r="F109" s="4" t="s">
        <v>22</v>
      </c>
      <c r="G109" s="11" t="s">
        <v>173</v>
      </c>
    </row>
    <row r="110" spans="1:9" x14ac:dyDescent="0.15">
      <c r="A110" s="27">
        <v>33</v>
      </c>
      <c r="B110" s="31"/>
      <c r="C110" s="25" t="str">
        <f t="shared" si="3"/>
        <v/>
      </c>
      <c r="D110" s="32"/>
      <c r="F110" s="4"/>
    </row>
    <row r="111" spans="1:9" s="32" customFormat="1" x14ac:dyDescent="0.15">
      <c r="B111" s="32">
        <v>45883</v>
      </c>
      <c r="D111" s="32">
        <v>45886</v>
      </c>
      <c r="E111" s="38">
        <v>2025</v>
      </c>
      <c r="F111" s="48" t="s">
        <v>192</v>
      </c>
      <c r="G111" s="49" t="s">
        <v>187</v>
      </c>
    </row>
    <row r="112" spans="1:9" x14ac:dyDescent="0.15">
      <c r="B112" s="31">
        <v>45885</v>
      </c>
      <c r="C112" s="25"/>
      <c r="D112" s="32"/>
      <c r="E112" s="38">
        <v>2025</v>
      </c>
      <c r="F112" s="4" t="s">
        <v>33</v>
      </c>
      <c r="G112" s="11" t="s">
        <v>170</v>
      </c>
    </row>
    <row r="113" spans="1:8" x14ac:dyDescent="0.15">
      <c r="A113" s="27">
        <v>34</v>
      </c>
      <c r="B113" s="31"/>
      <c r="C113" s="25" t="str">
        <f t="shared" si="3"/>
        <v/>
      </c>
      <c r="D113" s="32"/>
      <c r="F113" s="4"/>
    </row>
    <row r="114" spans="1:8" x14ac:dyDescent="0.15">
      <c r="B114" s="31">
        <v>45891</v>
      </c>
      <c r="C114" s="25" t="str">
        <f t="shared" si="3"/>
        <v>-</v>
      </c>
      <c r="D114" s="32">
        <v>45894</v>
      </c>
      <c r="E114" s="38">
        <v>2025</v>
      </c>
      <c r="F114" s="20" t="s">
        <v>21</v>
      </c>
    </row>
    <row r="115" spans="1:8" x14ac:dyDescent="0.15">
      <c r="B115" s="31">
        <v>45891</v>
      </c>
      <c r="C115" s="25" t="str">
        <f t="shared" si="3"/>
        <v>-</v>
      </c>
      <c r="D115" s="32">
        <v>45893</v>
      </c>
      <c r="E115" s="38">
        <v>2025</v>
      </c>
      <c r="F115" s="4" t="s">
        <v>191</v>
      </c>
      <c r="G115" s="11" t="s">
        <v>190</v>
      </c>
    </row>
    <row r="116" spans="1:8" x14ac:dyDescent="0.15">
      <c r="B116" s="31">
        <v>45890</v>
      </c>
      <c r="C116" s="25" t="str">
        <f t="shared" si="3"/>
        <v>-</v>
      </c>
      <c r="D116" s="39">
        <v>45906</v>
      </c>
      <c r="E116" s="38">
        <v>2025</v>
      </c>
      <c r="F116" s="4" t="s">
        <v>102</v>
      </c>
    </row>
    <row r="117" spans="1:8" x14ac:dyDescent="0.15">
      <c r="B117" s="31">
        <v>45892</v>
      </c>
      <c r="C117" s="25" t="str">
        <f>IF(OR(B117&lt;&gt;"",D117&lt;&gt;""),"-","")</f>
        <v>-</v>
      </c>
      <c r="D117" s="39">
        <v>45963</v>
      </c>
      <c r="E117" s="38">
        <v>2025</v>
      </c>
      <c r="F117" s="7" t="s">
        <v>56</v>
      </c>
      <c r="G117" s="11" t="s">
        <v>174</v>
      </c>
    </row>
    <row r="118" spans="1:8" x14ac:dyDescent="0.15">
      <c r="B118" s="31">
        <v>45891</v>
      </c>
      <c r="C118" s="25" t="str">
        <f>IF(OR(B118&lt;&gt;"",D118&lt;&gt;""),"-","")</f>
        <v>-</v>
      </c>
      <c r="D118" s="39">
        <v>45907</v>
      </c>
      <c r="E118" s="38">
        <v>2025</v>
      </c>
      <c r="F118" s="7" t="s">
        <v>203</v>
      </c>
      <c r="G118" s="11" t="s">
        <v>204</v>
      </c>
    </row>
    <row r="119" spans="1:8" x14ac:dyDescent="0.15">
      <c r="A119" s="27">
        <v>35</v>
      </c>
      <c r="B119" s="31"/>
      <c r="C119" s="25" t="str">
        <f t="shared" si="3"/>
        <v/>
      </c>
      <c r="D119" s="32"/>
      <c r="E119" s="41"/>
      <c r="F119" s="2"/>
      <c r="G119" s="2"/>
    </row>
    <row r="120" spans="1:8" x14ac:dyDescent="0.15">
      <c r="B120" s="31">
        <v>45898</v>
      </c>
      <c r="C120" s="25" t="str">
        <f t="shared" si="3"/>
        <v>-</v>
      </c>
      <c r="D120" s="32">
        <v>45902</v>
      </c>
      <c r="E120" s="38">
        <v>2025</v>
      </c>
      <c r="F120" s="4" t="s">
        <v>19</v>
      </c>
      <c r="G120" s="11" t="s">
        <v>123</v>
      </c>
    </row>
    <row r="121" spans="1:8" x14ac:dyDescent="0.15">
      <c r="B121" s="31"/>
      <c r="C121" s="25"/>
      <c r="D121" s="32"/>
      <c r="F121" s="4"/>
      <c r="G121" s="11"/>
    </row>
    <row r="122" spans="1:8" x14ac:dyDescent="0.15">
      <c r="B122" s="31"/>
      <c r="C122" s="25"/>
      <c r="D122" s="32"/>
      <c r="F122" s="4"/>
      <c r="G122" s="11"/>
    </row>
    <row r="123" spans="1:8" x14ac:dyDescent="0.15">
      <c r="A123" s="29" t="s">
        <v>69</v>
      </c>
      <c r="B123" s="33"/>
      <c r="C123" s="34" t="str">
        <f t="shared" si="3"/>
        <v/>
      </c>
      <c r="D123" s="35"/>
      <c r="E123" s="36"/>
      <c r="F123" s="15"/>
      <c r="G123" s="15"/>
      <c r="H123" s="15"/>
    </row>
    <row r="124" spans="1:8" x14ac:dyDescent="0.15">
      <c r="A124" s="27">
        <v>36</v>
      </c>
      <c r="B124" s="31"/>
      <c r="C124" s="25" t="str">
        <f t="shared" si="3"/>
        <v/>
      </c>
      <c r="D124" s="32"/>
      <c r="F124" s="4"/>
    </row>
    <row r="125" spans="1:8" x14ac:dyDescent="0.15">
      <c r="B125" s="50">
        <v>45890</v>
      </c>
      <c r="C125" s="51" t="str">
        <f t="shared" ref="C125" si="4">IF(OR(B125&lt;&gt;"",D125&lt;&gt;""),"-","")</f>
        <v>-</v>
      </c>
      <c r="D125" s="52">
        <v>45906</v>
      </c>
      <c r="E125" s="53">
        <v>2025</v>
      </c>
      <c r="F125" s="54" t="s">
        <v>102</v>
      </c>
    </row>
    <row r="126" spans="1:8" x14ac:dyDescent="0.15">
      <c r="B126" s="50">
        <v>45891</v>
      </c>
      <c r="C126" s="51" t="str">
        <f>IF(OR(B126&lt;&gt;"",D126&lt;&gt;""),"-","")</f>
        <v>-</v>
      </c>
      <c r="D126" s="52">
        <v>45907</v>
      </c>
      <c r="E126" s="53">
        <v>2025</v>
      </c>
      <c r="F126" s="55" t="s">
        <v>203</v>
      </c>
      <c r="G126" s="11" t="s">
        <v>204</v>
      </c>
    </row>
    <row r="127" spans="1:8" x14ac:dyDescent="0.15">
      <c r="B127" s="31">
        <v>45904</v>
      </c>
      <c r="C127" s="25"/>
      <c r="D127" s="32"/>
      <c r="E127" s="38">
        <v>2025</v>
      </c>
      <c r="F127" s="4" t="s">
        <v>199</v>
      </c>
      <c r="G127" s="11" t="s">
        <v>198</v>
      </c>
    </row>
    <row r="128" spans="1:8" x14ac:dyDescent="0.15">
      <c r="A128" s="30"/>
      <c r="B128" s="31">
        <v>45905</v>
      </c>
      <c r="C128" s="25" t="str">
        <f>IF(OR(B128&lt;&gt;"",D128&lt;&gt;""),"-","")</f>
        <v>-</v>
      </c>
      <c r="D128" s="32">
        <v>45912</v>
      </c>
      <c r="E128" s="38">
        <v>2025</v>
      </c>
      <c r="F128" s="17" t="s">
        <v>89</v>
      </c>
    </row>
    <row r="129" spans="1:7" x14ac:dyDescent="0.15">
      <c r="A129" s="30"/>
      <c r="B129" s="31">
        <v>45905</v>
      </c>
      <c r="C129" s="25" t="str">
        <f t="shared" si="3"/>
        <v>-</v>
      </c>
      <c r="D129" s="32">
        <v>45907</v>
      </c>
      <c r="E129" s="38">
        <v>2025</v>
      </c>
      <c r="F129" s="20" t="s">
        <v>20</v>
      </c>
      <c r="G129" s="11" t="s">
        <v>105</v>
      </c>
    </row>
    <row r="130" spans="1:7" x14ac:dyDescent="0.15">
      <c r="A130" s="30"/>
      <c r="B130" s="31">
        <v>45905</v>
      </c>
      <c r="C130" s="25" t="str">
        <f t="shared" ref="C130" si="5">IF(OR(B130&lt;&gt;"",D130&lt;&gt;""),"-","")</f>
        <v>-</v>
      </c>
      <c r="D130" s="32">
        <v>45907</v>
      </c>
      <c r="E130" s="38">
        <v>2025</v>
      </c>
      <c r="F130" s="4" t="s">
        <v>197</v>
      </c>
      <c r="G130" s="11" t="s">
        <v>196</v>
      </c>
    </row>
    <row r="131" spans="1:7" x14ac:dyDescent="0.15">
      <c r="A131" s="27">
        <v>37</v>
      </c>
      <c r="B131" s="31"/>
      <c r="C131" s="25" t="str">
        <f t="shared" si="3"/>
        <v/>
      </c>
      <c r="D131" s="32"/>
      <c r="F131" s="4"/>
    </row>
    <row r="132" spans="1:7" x14ac:dyDescent="0.15">
      <c r="B132" s="31">
        <v>45913</v>
      </c>
      <c r="C132" s="25" t="str">
        <f>IF(OR(B132&lt;&gt;"",D132&lt;&gt;""),"-","")</f>
        <v>-</v>
      </c>
      <c r="D132" s="32">
        <v>45914</v>
      </c>
      <c r="E132" s="38">
        <v>2025</v>
      </c>
      <c r="F132" s="4" t="s">
        <v>18</v>
      </c>
      <c r="G132" s="11" t="s">
        <v>128</v>
      </c>
    </row>
    <row r="133" spans="1:7" x14ac:dyDescent="0.15">
      <c r="B133" s="31">
        <v>45913</v>
      </c>
      <c r="C133" s="25" t="str">
        <f>IF(OR(B133&lt;&gt;"",D133&lt;&gt;""),"-","")</f>
        <v>-</v>
      </c>
      <c r="D133" s="32">
        <v>45914</v>
      </c>
      <c r="E133" s="38">
        <v>2025</v>
      </c>
      <c r="F133" s="4" t="s">
        <v>122</v>
      </c>
      <c r="G133" s="11" t="s">
        <v>121</v>
      </c>
    </row>
    <row r="134" spans="1:7" x14ac:dyDescent="0.15">
      <c r="B134" s="31">
        <v>45911</v>
      </c>
      <c r="C134" s="25" t="str">
        <f>IF(OR(B134&lt;&gt;"",D134&lt;&gt;""),"-","")</f>
        <v>-</v>
      </c>
      <c r="D134" s="32">
        <v>45913</v>
      </c>
      <c r="E134" s="37">
        <v>2026</v>
      </c>
      <c r="F134" s="4" t="s">
        <v>125</v>
      </c>
    </row>
    <row r="135" spans="1:7" x14ac:dyDescent="0.15">
      <c r="B135" s="31">
        <v>45912</v>
      </c>
      <c r="C135" s="25" t="str">
        <f>IF(OR(B135&lt;&gt;"",D135&lt;&gt;""),"-","")</f>
        <v>-</v>
      </c>
      <c r="D135" s="32">
        <v>45914</v>
      </c>
      <c r="E135" s="38">
        <v>2025</v>
      </c>
      <c r="F135" s="4" t="s">
        <v>193</v>
      </c>
    </row>
    <row r="136" spans="1:7" x14ac:dyDescent="0.15">
      <c r="A136" s="27">
        <v>38</v>
      </c>
      <c r="B136" s="31"/>
      <c r="C136" s="25" t="str">
        <f t="shared" si="3"/>
        <v/>
      </c>
      <c r="D136" s="32"/>
    </row>
    <row r="137" spans="1:7" x14ac:dyDescent="0.15">
      <c r="B137" s="31"/>
      <c r="C137" s="25" t="str">
        <f t="shared" si="3"/>
        <v/>
      </c>
      <c r="D137" s="32"/>
      <c r="E137" s="37">
        <v>2026</v>
      </c>
      <c r="F137" s="1" t="s">
        <v>133</v>
      </c>
    </row>
    <row r="138" spans="1:7" x14ac:dyDescent="0.15">
      <c r="B138" s="31">
        <v>45888</v>
      </c>
      <c r="C138" s="25" t="str">
        <f>IF(OR(B138&lt;&gt;"",D138&lt;&gt;""),"-","")</f>
        <v>-</v>
      </c>
      <c r="D138" s="32">
        <v>45889</v>
      </c>
      <c r="E138" s="38">
        <v>2025</v>
      </c>
      <c r="F138" s="4" t="s">
        <v>188</v>
      </c>
      <c r="G138" s="11" t="s">
        <v>189</v>
      </c>
    </row>
    <row r="139" spans="1:7" x14ac:dyDescent="0.15">
      <c r="A139" s="30"/>
      <c r="B139" s="31">
        <v>45919</v>
      </c>
      <c r="C139" s="25" t="str">
        <f>IF(OR(B139&lt;&gt;"",D139&lt;&gt;""),"-","")</f>
        <v>-</v>
      </c>
      <c r="D139" s="32">
        <v>45921</v>
      </c>
      <c r="E139" s="38">
        <v>2025</v>
      </c>
      <c r="F139" s="4" t="s">
        <v>126</v>
      </c>
    </row>
    <row r="140" spans="1:7" x14ac:dyDescent="0.15">
      <c r="B140" s="31">
        <v>45921</v>
      </c>
      <c r="C140" s="25" t="str">
        <f t="shared" si="3"/>
        <v>-</v>
      </c>
      <c r="D140" s="32">
        <v>45921</v>
      </c>
      <c r="E140" s="38">
        <v>2025</v>
      </c>
      <c r="F140" s="1" t="s">
        <v>95</v>
      </c>
    </row>
    <row r="141" spans="1:7" x14ac:dyDescent="0.15">
      <c r="B141" s="31">
        <v>45919</v>
      </c>
      <c r="C141" s="25" t="str">
        <f t="shared" si="3"/>
        <v>-</v>
      </c>
      <c r="D141" s="32">
        <v>45922</v>
      </c>
      <c r="E141" s="38">
        <v>2025</v>
      </c>
      <c r="F141" s="1" t="s">
        <v>200</v>
      </c>
      <c r="G141" s="11" t="s">
        <v>201</v>
      </c>
    </row>
    <row r="142" spans="1:7" x14ac:dyDescent="0.15">
      <c r="A142" s="27">
        <v>39</v>
      </c>
      <c r="B142" s="31"/>
      <c r="C142" s="25" t="str">
        <f t="shared" si="3"/>
        <v/>
      </c>
      <c r="D142" s="32"/>
      <c r="F142" s="7"/>
    </row>
    <row r="143" spans="1:7" x14ac:dyDescent="0.15">
      <c r="A143" s="30"/>
      <c r="B143" s="31">
        <v>45926</v>
      </c>
      <c r="C143" s="25" t="str">
        <f>IF(OR(B143&lt;&gt;"",D143&lt;&gt;""),"-","")</f>
        <v>-</v>
      </c>
      <c r="D143" s="32">
        <v>45928</v>
      </c>
      <c r="E143" s="38">
        <v>2025</v>
      </c>
      <c r="F143" s="1" t="s">
        <v>132</v>
      </c>
    </row>
    <row r="144" spans="1:7" x14ac:dyDescent="0.15">
      <c r="A144" s="30"/>
      <c r="B144" s="31">
        <v>45926</v>
      </c>
      <c r="C144" s="25" t="str">
        <f t="shared" si="3"/>
        <v>-</v>
      </c>
      <c r="D144" s="39">
        <v>45977</v>
      </c>
      <c r="E144" s="38">
        <v>2025</v>
      </c>
      <c r="F144" s="7" t="s">
        <v>103</v>
      </c>
    </row>
    <row r="145" spans="1:8" x14ac:dyDescent="0.15">
      <c r="A145" s="30"/>
      <c r="B145" s="31">
        <v>45927</v>
      </c>
      <c r="C145" s="25" t="str">
        <f t="shared" si="3"/>
        <v>-</v>
      </c>
      <c r="D145" s="32">
        <v>45928</v>
      </c>
      <c r="E145" s="38">
        <v>2025</v>
      </c>
      <c r="F145" s="4" t="s">
        <v>16</v>
      </c>
      <c r="G145" s="11" t="s">
        <v>175</v>
      </c>
    </row>
    <row r="146" spans="1:8" x14ac:dyDescent="0.15">
      <c r="B146" s="31">
        <v>45927</v>
      </c>
      <c r="C146" s="25" t="str">
        <f t="shared" si="3"/>
        <v>-</v>
      </c>
      <c r="D146" s="32">
        <v>45928</v>
      </c>
      <c r="E146" s="38">
        <v>2025</v>
      </c>
      <c r="F146" s="1" t="s">
        <v>15</v>
      </c>
      <c r="G146" s="11" t="s">
        <v>134</v>
      </c>
    </row>
    <row r="147" spans="1:8" x14ac:dyDescent="0.15">
      <c r="A147" s="29" t="s">
        <v>70</v>
      </c>
      <c r="B147" s="33"/>
      <c r="C147" s="34" t="str">
        <f t="shared" si="3"/>
        <v/>
      </c>
      <c r="D147" s="35"/>
      <c r="E147" s="36"/>
      <c r="F147" s="15"/>
      <c r="G147" s="15"/>
      <c r="H147" s="15"/>
    </row>
    <row r="148" spans="1:8" x14ac:dyDescent="0.15">
      <c r="A148" s="27">
        <v>40</v>
      </c>
      <c r="B148" s="31"/>
      <c r="C148" s="25" t="str">
        <f t="shared" ref="C148:C200" si="6">IF(OR(B148&lt;&gt;"",D148&lt;&gt;""),"-","")</f>
        <v/>
      </c>
      <c r="D148" s="32"/>
      <c r="F148" s="7"/>
      <c r="G148" s="11"/>
    </row>
    <row r="149" spans="1:8" x14ac:dyDescent="0.15">
      <c r="B149" s="31">
        <v>45933</v>
      </c>
      <c r="C149" s="25" t="str">
        <f t="shared" si="6"/>
        <v>-</v>
      </c>
      <c r="D149" s="32">
        <v>45935</v>
      </c>
      <c r="E149" s="38">
        <v>2025</v>
      </c>
      <c r="F149" s="7" t="s">
        <v>41</v>
      </c>
      <c r="G149" s="11" t="s">
        <v>135</v>
      </c>
    </row>
    <row r="150" spans="1:8" x14ac:dyDescent="0.15">
      <c r="B150" s="31">
        <v>45931</v>
      </c>
      <c r="C150" s="25" t="str">
        <f>IF(OR(B150&lt;&gt;"",D150&lt;&gt;""),"-","")</f>
        <v>-</v>
      </c>
      <c r="D150" s="32">
        <v>45934</v>
      </c>
      <c r="E150" s="37">
        <v>2026</v>
      </c>
      <c r="F150" s="7" t="s">
        <v>39</v>
      </c>
      <c r="G150" s="11" t="s">
        <v>40</v>
      </c>
    </row>
    <row r="151" spans="1:8" x14ac:dyDescent="0.15">
      <c r="A151" s="27">
        <v>41</v>
      </c>
      <c r="B151" s="31"/>
      <c r="C151" s="25" t="str">
        <f t="shared" si="6"/>
        <v/>
      </c>
      <c r="D151" s="32"/>
    </row>
    <row r="152" spans="1:8" x14ac:dyDescent="0.15">
      <c r="B152" s="31">
        <v>45940</v>
      </c>
      <c r="C152" s="25" t="str">
        <f t="shared" si="6"/>
        <v>-</v>
      </c>
      <c r="D152" s="39">
        <v>45955</v>
      </c>
      <c r="E152" s="38">
        <v>2025</v>
      </c>
      <c r="F152" s="19" t="s">
        <v>90</v>
      </c>
    </row>
    <row r="153" spans="1:8" x14ac:dyDescent="0.15">
      <c r="A153" s="30"/>
      <c r="B153" s="31">
        <v>45940</v>
      </c>
      <c r="C153" s="25" t="str">
        <f>IF(OR(B153&lt;&gt;"",D153&lt;&gt;""),"-","")</f>
        <v>-</v>
      </c>
      <c r="D153" s="32">
        <v>45943</v>
      </c>
      <c r="E153" s="38">
        <v>2025</v>
      </c>
      <c r="F153" s="1" t="s">
        <v>14</v>
      </c>
      <c r="G153" s="11" t="s">
        <v>137</v>
      </c>
      <c r="H153" s="4"/>
    </row>
    <row r="154" spans="1:8" x14ac:dyDescent="0.15">
      <c r="B154" s="31">
        <v>45942</v>
      </c>
      <c r="C154" s="25"/>
      <c r="D154" s="32"/>
      <c r="E154" s="38">
        <v>2025</v>
      </c>
      <c r="F154" s="1" t="s">
        <v>136</v>
      </c>
    </row>
    <row r="155" spans="1:8" x14ac:dyDescent="0.15">
      <c r="B155" s="31">
        <v>45942</v>
      </c>
      <c r="C155" s="25"/>
      <c r="D155" s="32"/>
      <c r="E155" s="38">
        <v>2025</v>
      </c>
      <c r="F155" s="1" t="s">
        <v>42</v>
      </c>
      <c r="G155" s="11" t="s">
        <v>138</v>
      </c>
      <c r="H155" s="4"/>
    </row>
    <row r="156" spans="1:8" x14ac:dyDescent="0.15">
      <c r="B156" s="31">
        <v>45942</v>
      </c>
      <c r="C156" s="25"/>
      <c r="D156" s="32"/>
      <c r="E156" s="38">
        <v>2025</v>
      </c>
      <c r="F156" s="1" t="s">
        <v>177</v>
      </c>
      <c r="G156" s="11" t="s">
        <v>176</v>
      </c>
      <c r="H156" s="4"/>
    </row>
    <row r="157" spans="1:8" x14ac:dyDescent="0.15">
      <c r="A157" s="27">
        <v>42</v>
      </c>
      <c r="B157" s="31"/>
      <c r="C157" s="25" t="str">
        <f t="shared" si="6"/>
        <v/>
      </c>
      <c r="D157" s="32"/>
      <c r="H157" s="4"/>
    </row>
    <row r="158" spans="1:8" x14ac:dyDescent="0.15">
      <c r="A158" s="30"/>
      <c r="B158" s="31">
        <v>45948</v>
      </c>
      <c r="C158" s="25" t="str">
        <f t="shared" si="6"/>
        <v>-</v>
      </c>
      <c r="D158" s="32">
        <v>45949</v>
      </c>
      <c r="E158" s="38">
        <v>2025</v>
      </c>
      <c r="F158" s="4" t="s">
        <v>11</v>
      </c>
      <c r="H158" s="4"/>
    </row>
    <row r="159" spans="1:8" x14ac:dyDescent="0.15">
      <c r="A159" s="27">
        <v>43</v>
      </c>
      <c r="B159" s="31"/>
      <c r="C159" s="25" t="str">
        <f t="shared" si="6"/>
        <v/>
      </c>
      <c r="D159" s="32"/>
      <c r="E159" s="42"/>
    </row>
    <row r="160" spans="1:8" x14ac:dyDescent="0.15">
      <c r="A160" s="30"/>
      <c r="B160" s="31">
        <v>45954</v>
      </c>
      <c r="C160" s="25" t="str">
        <f t="shared" si="6"/>
        <v>-</v>
      </c>
      <c r="D160" s="32">
        <v>45998</v>
      </c>
      <c r="E160" s="38">
        <v>2025</v>
      </c>
      <c r="F160" s="4" t="s">
        <v>10</v>
      </c>
      <c r="G160" s="11" t="s">
        <v>178</v>
      </c>
    </row>
    <row r="161" spans="1:8" x14ac:dyDescent="0.15">
      <c r="A161" s="27">
        <v>44</v>
      </c>
      <c r="B161" s="31"/>
      <c r="C161" s="25"/>
      <c r="D161" s="32"/>
      <c r="F161" s="4"/>
    </row>
    <row r="162" spans="1:8" x14ac:dyDescent="0.15">
      <c r="A162" s="29" t="s">
        <v>71</v>
      </c>
      <c r="B162" s="33"/>
      <c r="C162" s="34" t="str">
        <f t="shared" si="6"/>
        <v/>
      </c>
      <c r="D162" s="35"/>
      <c r="E162" s="36"/>
      <c r="F162" s="12"/>
      <c r="G162" s="15"/>
      <c r="H162" s="15"/>
    </row>
    <row r="163" spans="1:8" x14ac:dyDescent="0.15">
      <c r="A163" s="27">
        <v>45</v>
      </c>
      <c r="B163" s="31"/>
      <c r="C163" s="25" t="str">
        <f t="shared" si="6"/>
        <v/>
      </c>
      <c r="D163" s="32"/>
      <c r="F163" s="4"/>
    </row>
    <row r="164" spans="1:8" x14ac:dyDescent="0.15">
      <c r="B164" s="31">
        <v>45965</v>
      </c>
      <c r="C164" s="25" t="str">
        <f t="shared" si="6"/>
        <v>-</v>
      </c>
      <c r="D164" s="32">
        <v>45970</v>
      </c>
      <c r="E164" s="38">
        <v>2025</v>
      </c>
      <c r="F164" s="4" t="s">
        <v>180</v>
      </c>
      <c r="G164" s="11" t="s">
        <v>179</v>
      </c>
    </row>
    <row r="165" spans="1:8" x14ac:dyDescent="0.15">
      <c r="A165" s="30"/>
      <c r="B165" s="31">
        <v>45970</v>
      </c>
      <c r="C165" s="25" t="str">
        <f t="shared" si="6"/>
        <v>-</v>
      </c>
      <c r="D165" s="32">
        <v>45971</v>
      </c>
      <c r="E165" s="44">
        <v>2024</v>
      </c>
      <c r="F165" s="4" t="s">
        <v>144</v>
      </c>
    </row>
    <row r="166" spans="1:8" x14ac:dyDescent="0.15">
      <c r="B166" s="31">
        <v>45970</v>
      </c>
      <c r="C166" s="25" t="str">
        <f t="shared" si="6"/>
        <v>-</v>
      </c>
      <c r="D166" s="32">
        <v>45970</v>
      </c>
      <c r="E166" s="38">
        <v>2025</v>
      </c>
      <c r="F166" s="4" t="s">
        <v>59</v>
      </c>
      <c r="G166" s="11" t="s">
        <v>145</v>
      </c>
    </row>
    <row r="167" spans="1:8" x14ac:dyDescent="0.15">
      <c r="A167" s="43">
        <v>46</v>
      </c>
      <c r="B167" s="31"/>
      <c r="C167" s="25" t="str">
        <f t="shared" si="6"/>
        <v/>
      </c>
      <c r="D167" s="32"/>
      <c r="F167" s="4"/>
    </row>
    <row r="168" spans="1:8" x14ac:dyDescent="0.15">
      <c r="A168" s="43"/>
      <c r="B168" s="31">
        <v>45974</v>
      </c>
      <c r="C168" s="25"/>
      <c r="D168" s="39">
        <v>45668</v>
      </c>
      <c r="E168" s="38">
        <v>2025</v>
      </c>
      <c r="F168" s="4" t="s">
        <v>205</v>
      </c>
      <c r="G168" s="11" t="s">
        <v>146</v>
      </c>
    </row>
    <row r="169" spans="1:8" x14ac:dyDescent="0.15">
      <c r="A169" s="43"/>
      <c r="B169" s="31">
        <v>45976</v>
      </c>
      <c r="C169" s="25" t="str">
        <f>IF(OR(B169&lt;&gt;"",D169&lt;&gt;""),"-","")</f>
        <v>-</v>
      </c>
      <c r="D169" s="32">
        <v>45977</v>
      </c>
      <c r="E169" s="38">
        <v>2025</v>
      </c>
      <c r="F169" s="4" t="s">
        <v>104</v>
      </c>
    </row>
    <row r="170" spans="1:8" x14ac:dyDescent="0.15">
      <c r="A170" s="43"/>
      <c r="B170" s="31">
        <v>45974</v>
      </c>
      <c r="C170" s="25" t="str">
        <f t="shared" si="6"/>
        <v>-</v>
      </c>
      <c r="D170" s="39">
        <v>45668</v>
      </c>
      <c r="E170" s="38">
        <v>2025</v>
      </c>
      <c r="F170" s="4" t="s">
        <v>211</v>
      </c>
      <c r="G170" s="11" t="s">
        <v>146</v>
      </c>
    </row>
    <row r="171" spans="1:8" x14ac:dyDescent="0.15">
      <c r="A171" s="43">
        <v>47</v>
      </c>
      <c r="B171" s="31"/>
      <c r="C171" s="25"/>
      <c r="D171" s="39"/>
      <c r="F171" s="4"/>
      <c r="G171" s="11"/>
    </row>
    <row r="172" spans="1:8" x14ac:dyDescent="0.15">
      <c r="A172" s="43"/>
      <c r="B172" s="31">
        <v>45981</v>
      </c>
      <c r="C172" s="25"/>
      <c r="D172" s="32">
        <v>45984</v>
      </c>
      <c r="E172" s="38">
        <v>2025</v>
      </c>
      <c r="F172" s="4" t="s">
        <v>149</v>
      </c>
      <c r="G172" s="11" t="s">
        <v>148</v>
      </c>
    </row>
    <row r="173" spans="1:8" x14ac:dyDescent="0.15">
      <c r="A173" s="43"/>
      <c r="B173" s="31">
        <v>45982</v>
      </c>
      <c r="C173" s="25" t="str">
        <f>IF(OR(B173&lt;&gt;"",D173&lt;&gt;""),"-","")</f>
        <v>-</v>
      </c>
      <c r="D173" s="32">
        <v>45984</v>
      </c>
      <c r="E173" s="38">
        <v>2025</v>
      </c>
      <c r="F173" s="4" t="s">
        <v>140</v>
      </c>
      <c r="G173" s="11" t="s">
        <v>139</v>
      </c>
    </row>
    <row r="174" spans="1:8" x14ac:dyDescent="0.15">
      <c r="A174" s="43">
        <v>48</v>
      </c>
      <c r="B174" s="31"/>
      <c r="C174" s="25"/>
      <c r="D174" s="32"/>
      <c r="F174" s="4"/>
      <c r="G174" s="11"/>
    </row>
    <row r="175" spans="1:8" x14ac:dyDescent="0.15">
      <c r="B175" s="31">
        <v>45988</v>
      </c>
      <c r="C175" s="25" t="str">
        <f t="shared" ref="C175:C180" si="7">IF(OR(B175&lt;&gt;"",D175&lt;&gt;""),"-","")</f>
        <v>-</v>
      </c>
      <c r="D175" s="32">
        <v>45991</v>
      </c>
      <c r="E175" s="38">
        <v>2025</v>
      </c>
      <c r="F175" s="1" t="s">
        <v>77</v>
      </c>
      <c r="G175" s="11" t="s">
        <v>150</v>
      </c>
    </row>
    <row r="176" spans="1:8" x14ac:dyDescent="0.15">
      <c r="B176" s="31">
        <v>45989</v>
      </c>
      <c r="C176" s="25" t="str">
        <f t="shared" si="7"/>
        <v>-</v>
      </c>
      <c r="D176" s="32">
        <v>45991</v>
      </c>
      <c r="E176" s="38">
        <v>2025</v>
      </c>
      <c r="F176" s="4" t="s">
        <v>78</v>
      </c>
    </row>
    <row r="177" spans="1:8" x14ac:dyDescent="0.15">
      <c r="B177" s="31">
        <v>45989</v>
      </c>
      <c r="C177" s="25" t="str">
        <f t="shared" si="7"/>
        <v>-</v>
      </c>
      <c r="D177" s="32">
        <v>45991</v>
      </c>
      <c r="E177" s="38">
        <v>2025</v>
      </c>
      <c r="F177" s="45" t="s">
        <v>157</v>
      </c>
      <c r="G177" s="11" t="s">
        <v>158</v>
      </c>
    </row>
    <row r="178" spans="1:8" x14ac:dyDescent="0.15">
      <c r="B178" s="31">
        <v>45986</v>
      </c>
      <c r="C178" s="25" t="str">
        <f t="shared" si="7"/>
        <v>-</v>
      </c>
      <c r="D178" s="39">
        <v>46012</v>
      </c>
      <c r="E178" s="38">
        <v>2025</v>
      </c>
      <c r="F178" s="7" t="s">
        <v>76</v>
      </c>
      <c r="G178" s="11" t="s">
        <v>155</v>
      </c>
    </row>
    <row r="179" spans="1:8" x14ac:dyDescent="0.15">
      <c r="A179" s="30"/>
      <c r="B179" s="31">
        <v>45986</v>
      </c>
      <c r="C179" s="25" t="str">
        <f t="shared" si="7"/>
        <v>-</v>
      </c>
      <c r="D179" s="39">
        <v>46013</v>
      </c>
      <c r="E179" s="38">
        <v>2025</v>
      </c>
      <c r="F179" s="1" t="s">
        <v>13</v>
      </c>
      <c r="G179" s="11" t="s">
        <v>151</v>
      </c>
    </row>
    <row r="180" spans="1:8" x14ac:dyDescent="0.15">
      <c r="B180" s="31">
        <v>45986</v>
      </c>
      <c r="C180" s="25" t="str">
        <f t="shared" si="7"/>
        <v>-</v>
      </c>
      <c r="D180" s="39">
        <v>46013</v>
      </c>
      <c r="E180" s="38">
        <v>2025</v>
      </c>
      <c r="F180" s="21" t="s">
        <v>12</v>
      </c>
      <c r="G180" s="11" t="s">
        <v>152</v>
      </c>
    </row>
    <row r="181" spans="1:8" x14ac:dyDescent="0.15">
      <c r="B181" s="31">
        <v>45989</v>
      </c>
      <c r="C181" s="25" t="str">
        <f t="shared" ref="C181:C182" si="8">IF(OR(B181&lt;&gt;"",D181&lt;&gt;""),"-","")</f>
        <v>-</v>
      </c>
      <c r="D181" s="39">
        <v>46013</v>
      </c>
      <c r="E181" s="38">
        <v>2025</v>
      </c>
      <c r="F181" s="1" t="s">
        <v>153</v>
      </c>
      <c r="G181" s="11" t="s">
        <v>154</v>
      </c>
    </row>
    <row r="182" spans="1:8" x14ac:dyDescent="0.15">
      <c r="B182" s="31">
        <v>45990</v>
      </c>
      <c r="C182" s="25" t="str">
        <f t="shared" si="8"/>
        <v>-</v>
      </c>
      <c r="D182" s="39">
        <v>45689</v>
      </c>
      <c r="E182" s="38">
        <v>2025</v>
      </c>
      <c r="F182" s="1" t="s">
        <v>210</v>
      </c>
      <c r="G182" s="11" t="s">
        <v>209</v>
      </c>
    </row>
    <row r="183" spans="1:8" x14ac:dyDescent="0.15">
      <c r="A183" s="29" t="s">
        <v>72</v>
      </c>
      <c r="B183" s="33"/>
      <c r="C183" s="34" t="str">
        <f t="shared" si="6"/>
        <v/>
      </c>
      <c r="D183" s="35"/>
      <c r="E183" s="36"/>
      <c r="F183" s="12"/>
      <c r="G183" s="15"/>
      <c r="H183" s="15"/>
    </row>
    <row r="184" spans="1:8" x14ac:dyDescent="0.15">
      <c r="A184" s="27">
        <v>49</v>
      </c>
      <c r="B184" s="31"/>
      <c r="C184" s="25"/>
      <c r="D184" s="32"/>
      <c r="F184" s="4"/>
      <c r="G184" s="11"/>
    </row>
    <row r="185" spans="1:8" x14ac:dyDescent="0.15">
      <c r="B185" s="31">
        <v>45996</v>
      </c>
      <c r="C185" s="25" t="str">
        <f>IF(OR(B185&lt;&gt;"",D185&lt;&gt;""),"-","")</f>
        <v>-</v>
      </c>
      <c r="D185" s="32">
        <v>45998</v>
      </c>
      <c r="E185" s="38">
        <v>2025</v>
      </c>
      <c r="F185" s="45" t="s">
        <v>157</v>
      </c>
    </row>
    <row r="186" spans="1:8" x14ac:dyDescent="0.15">
      <c r="B186" s="31">
        <v>45996</v>
      </c>
      <c r="C186" s="25" t="str">
        <f t="shared" si="6"/>
        <v>-</v>
      </c>
      <c r="D186" s="32">
        <v>45999</v>
      </c>
      <c r="E186" s="38">
        <v>2025</v>
      </c>
      <c r="F186" s="4" t="s">
        <v>60</v>
      </c>
      <c r="G186" s="11" t="s">
        <v>147</v>
      </c>
    </row>
    <row r="187" spans="1:8" x14ac:dyDescent="0.15">
      <c r="B187" s="31">
        <v>45996</v>
      </c>
      <c r="C187" s="25" t="str">
        <f>IF(OR(B187&lt;&gt;"",D187&lt;&gt;""),"-","")</f>
        <v>-</v>
      </c>
      <c r="D187" s="32">
        <v>46005</v>
      </c>
      <c r="E187" s="38">
        <v>2025</v>
      </c>
      <c r="F187" s="4" t="s">
        <v>75</v>
      </c>
      <c r="G187" s="11" t="s">
        <v>156</v>
      </c>
    </row>
    <row r="188" spans="1:8" ht="14" x14ac:dyDescent="0.15">
      <c r="A188" s="27">
        <v>50</v>
      </c>
      <c r="B188" s="31"/>
      <c r="C188" s="25" t="str">
        <f t="shared" si="6"/>
        <v/>
      </c>
      <c r="D188" s="32"/>
      <c r="F188" s="10"/>
    </row>
    <row r="189" spans="1:8" x14ac:dyDescent="0.15">
      <c r="B189" s="31">
        <v>46003</v>
      </c>
      <c r="C189" s="25" t="str">
        <f t="shared" si="6"/>
        <v>-</v>
      </c>
      <c r="D189" s="32">
        <v>46005</v>
      </c>
      <c r="E189" s="38">
        <v>2025</v>
      </c>
      <c r="F189" s="45" t="s">
        <v>157</v>
      </c>
    </row>
    <row r="190" spans="1:8" x14ac:dyDescent="0.15">
      <c r="A190" s="27">
        <v>51</v>
      </c>
      <c r="B190" s="31"/>
      <c r="C190" s="25" t="str">
        <f t="shared" si="6"/>
        <v/>
      </c>
      <c r="D190" s="32"/>
      <c r="F190" s="4"/>
    </row>
    <row r="191" spans="1:8" x14ac:dyDescent="0.15">
      <c r="B191" s="31">
        <v>46011</v>
      </c>
      <c r="C191" s="25" t="str">
        <f t="shared" si="6"/>
        <v>-</v>
      </c>
      <c r="D191" s="32">
        <v>46012</v>
      </c>
      <c r="E191" s="38">
        <v>2025</v>
      </c>
      <c r="F191" s="4" t="s">
        <v>212</v>
      </c>
    </row>
    <row r="192" spans="1:8" x14ac:dyDescent="0.15">
      <c r="B192" s="31"/>
      <c r="C192" s="25" t="str">
        <f t="shared" si="6"/>
        <v/>
      </c>
      <c r="D192" s="32"/>
    </row>
    <row r="193" spans="2:6" x14ac:dyDescent="0.15">
      <c r="B193" s="31"/>
      <c r="C193" s="25" t="str">
        <f t="shared" si="6"/>
        <v/>
      </c>
      <c r="D193" s="32"/>
    </row>
    <row r="194" spans="2:6" x14ac:dyDescent="0.15">
      <c r="B194" s="31"/>
      <c r="C194" s="25" t="str">
        <f t="shared" si="6"/>
        <v/>
      </c>
      <c r="D194" s="32"/>
    </row>
    <row r="195" spans="2:6" x14ac:dyDescent="0.15">
      <c r="B195" s="31"/>
      <c r="C195" s="25" t="str">
        <f t="shared" si="6"/>
        <v/>
      </c>
      <c r="D195" s="32"/>
      <c r="F195" s="4"/>
    </row>
    <row r="196" spans="2:6" x14ac:dyDescent="0.15">
      <c r="B196" s="31"/>
      <c r="C196" s="25" t="str">
        <f t="shared" si="6"/>
        <v/>
      </c>
      <c r="D196" s="32"/>
    </row>
    <row r="197" spans="2:6" x14ac:dyDescent="0.15">
      <c r="B197" s="31"/>
      <c r="C197" s="25" t="str">
        <f t="shared" si="6"/>
        <v/>
      </c>
      <c r="D197" s="32"/>
    </row>
    <row r="198" spans="2:6" x14ac:dyDescent="0.15">
      <c r="B198" s="31"/>
      <c r="C198" s="25" t="str">
        <f t="shared" si="6"/>
        <v/>
      </c>
      <c r="D198" s="32"/>
    </row>
    <row r="199" spans="2:6" x14ac:dyDescent="0.15">
      <c r="B199" s="31"/>
      <c r="C199" s="25" t="str">
        <f t="shared" si="6"/>
        <v/>
      </c>
      <c r="D199" s="32"/>
    </row>
    <row r="200" spans="2:6" x14ac:dyDescent="0.15">
      <c r="B200" s="31"/>
      <c r="C200" s="25" t="str">
        <f t="shared" si="6"/>
        <v/>
      </c>
      <c r="D200" s="32"/>
    </row>
    <row r="201" spans="2:6" x14ac:dyDescent="0.15">
      <c r="B201" s="24"/>
      <c r="C201" s="22" t="str">
        <f t="shared" ref="C201:C209" si="9">IF(OR(B201&lt;&gt;"",D201&lt;&gt;""),"-","")</f>
        <v/>
      </c>
      <c r="D201" s="26"/>
    </row>
    <row r="202" spans="2:6" x14ac:dyDescent="0.15">
      <c r="B202" s="24"/>
      <c r="C202" s="22" t="str">
        <f t="shared" si="9"/>
        <v/>
      </c>
      <c r="D202" s="26"/>
    </row>
    <row r="203" spans="2:6" x14ac:dyDescent="0.15">
      <c r="B203" s="24"/>
      <c r="C203" s="22" t="str">
        <f t="shared" si="9"/>
        <v/>
      </c>
      <c r="D203" s="26"/>
    </row>
    <row r="204" spans="2:6" x14ac:dyDescent="0.15">
      <c r="B204" s="24"/>
      <c r="C204" s="22" t="str">
        <f t="shared" si="9"/>
        <v/>
      </c>
      <c r="D204" s="26"/>
    </row>
    <row r="205" spans="2:6" x14ac:dyDescent="0.15">
      <c r="B205" s="24"/>
      <c r="C205" s="22" t="str">
        <f t="shared" si="9"/>
        <v/>
      </c>
      <c r="D205" s="26"/>
    </row>
    <row r="206" spans="2:6" x14ac:dyDescent="0.15">
      <c r="B206" s="24"/>
      <c r="C206" s="22" t="str">
        <f t="shared" si="9"/>
        <v/>
      </c>
      <c r="D206" s="26"/>
    </row>
    <row r="207" spans="2:6" x14ac:dyDescent="0.15">
      <c r="B207" s="24"/>
      <c r="C207" s="22" t="str">
        <f t="shared" si="9"/>
        <v/>
      </c>
      <c r="D207" s="26"/>
    </row>
    <row r="208" spans="2:6" x14ac:dyDescent="0.15">
      <c r="B208" s="24"/>
      <c r="C208" s="22" t="str">
        <f t="shared" si="9"/>
        <v/>
      </c>
      <c r="D208" s="26"/>
    </row>
    <row r="209" spans="2:4" x14ac:dyDescent="0.15">
      <c r="B209" s="24"/>
      <c r="C209" s="22" t="str">
        <f t="shared" si="9"/>
        <v/>
      </c>
      <c r="D209" s="26"/>
    </row>
  </sheetData>
  <mergeCells count="1">
    <mergeCell ref="B1:D1"/>
  </mergeCells>
  <phoneticPr fontId="2" type="noConversion"/>
  <hyperlinks>
    <hyperlink ref="G75" r:id="rId1" xr:uid="{3A48489A-A659-43E7-A255-26C214995883}"/>
    <hyperlink ref="G41" r:id="rId2" xr:uid="{E7A3AF00-9A59-491B-B9EE-D5BAB73EE27F}"/>
    <hyperlink ref="G150" r:id="rId3" xr:uid="{56BEE0C5-3920-4248-8773-63D698E6CB6F}"/>
    <hyperlink ref="G13" r:id="rId4" xr:uid="{AAEC5454-3745-4805-B4ED-67A75BBD2A6A}"/>
    <hyperlink ref="G32" r:id="rId5" xr:uid="{CEF0316C-3693-48EB-AC0D-21EA9B38A97B}"/>
    <hyperlink ref="G94" r:id="rId6" xr:uid="{2C2FB3B6-4462-4912-B511-DDE221CB82F6}"/>
    <hyperlink ref="G29" r:id="rId7" xr:uid="{126F0002-E9E7-4433-99B0-2E1E5AEF2A3A}"/>
    <hyperlink ref="G45" r:id="rId8" xr:uid="{1A9F228D-33F7-45D0-B65B-8E26DFA7715B}"/>
    <hyperlink ref="G86" r:id="rId9" xr:uid="{E5A7B5C5-EE62-47E5-A3CC-6BB8951573DD}"/>
    <hyperlink ref="G82" r:id="rId10" xr:uid="{21AA5D71-6AFC-465C-94C3-8B06A7DD2F37}"/>
    <hyperlink ref="G107" r:id="rId11" xr:uid="{9204647B-0F0D-4029-968F-60515F8D4DE2}"/>
    <hyperlink ref="G129" r:id="rId12" xr:uid="{BA6D026E-32E8-44A5-A06D-291FA6CA0A4D}"/>
    <hyperlink ref="G51" r:id="rId13" xr:uid="{602C27DE-2A00-4A25-8E32-6EB2F0A0CEE0}"/>
    <hyperlink ref="G83" r:id="rId14" xr:uid="{768EE20A-8C03-4D1C-90B3-C1903E013298}"/>
    <hyperlink ref="G85" r:id="rId15" location=":~:text=vom%2011.07.,und%20Lager%20zu%20sehen%20geben." xr:uid="{2D792EBE-A98E-4CF3-B260-E822F0CFCE57}"/>
    <hyperlink ref="G90" r:id="rId16" xr:uid="{BEBAE0F9-B6B4-4664-B454-7CF5E0E63AD5}"/>
    <hyperlink ref="G91" r:id="rId17" xr:uid="{AB16A4D8-93FF-4A25-AD39-E6AF6F398C4E}"/>
    <hyperlink ref="G100" r:id="rId18" xr:uid="{A38720BA-A1EC-41DF-B30A-94FB00042629}"/>
    <hyperlink ref="G133" r:id="rId19" xr:uid="{A5A99069-0B64-4AFA-B64C-72686FDA826A}"/>
    <hyperlink ref="G120" r:id="rId20" xr:uid="{308AE05B-3A6C-4B27-8330-7B6C4CFE7B43}"/>
    <hyperlink ref="G99" r:id="rId21" xr:uid="{BD2DF9B9-6DAE-41AE-9CB7-5F02D8DF947C}"/>
    <hyperlink ref="G132" r:id="rId22" xr:uid="{B7D534D7-6FC2-4E64-9BBB-7026888AF744}"/>
    <hyperlink ref="G52" r:id="rId23" xr:uid="{7EADB356-DC5E-4052-802B-852076F5A6B1}"/>
    <hyperlink ref="G146" r:id="rId24" xr:uid="{E2E7FD07-94E0-4003-A3D5-348EB308B25E}"/>
    <hyperlink ref="G149" r:id="rId25" xr:uid="{F37CAE6A-6432-4F35-8873-0B0C0099D150}"/>
    <hyperlink ref="G153" r:id="rId26" xr:uid="{C6B13BE4-3735-4E88-8296-5296603FD41F}"/>
    <hyperlink ref="G155" r:id="rId27" xr:uid="{E4E8F60C-5EA1-4D15-850B-06C0DDE38594}"/>
    <hyperlink ref="G173" r:id="rId28" xr:uid="{AF7BF5CD-25BC-48F7-B174-056E2A085EA5}"/>
    <hyperlink ref="G18" r:id="rId29" xr:uid="{05706509-38AB-475E-A464-35543DB60727}"/>
    <hyperlink ref="G38" r:id="rId30" xr:uid="{A39ACE03-1FF2-4C5F-BFF9-CE864947F1FA}"/>
    <hyperlink ref="G166" r:id="rId31" xr:uid="{A4665FA0-087E-455C-97F9-CEDC20891FA9}"/>
    <hyperlink ref="G170" r:id="rId32" xr:uid="{2605B5B6-511B-487E-ACBA-525F523AD77A}"/>
    <hyperlink ref="G186" r:id="rId33" xr:uid="{F4CDC8D4-3D4F-4BDC-AE77-0CB5841B2A33}"/>
    <hyperlink ref="G172" r:id="rId34" xr:uid="{52200DAD-D29A-4505-B7CB-8D153B75FA4A}"/>
    <hyperlink ref="G175" r:id="rId35" xr:uid="{128AD157-9559-46FB-AA0A-3BB2C002B523}"/>
    <hyperlink ref="G179" r:id="rId36" xr:uid="{D21DAFDC-7C6D-4B3F-99F5-A20781F5D8BE}"/>
    <hyperlink ref="G180" r:id="rId37" xr:uid="{03C6F9AF-78D3-45AC-91B7-503C5B150F7D}"/>
    <hyperlink ref="G181" r:id="rId38" xr:uid="{DA8A796D-2D3F-442E-B742-68ED3E1276C3}"/>
    <hyperlink ref="G178" r:id="rId39" xr:uid="{64FF5564-F78F-4238-8D54-354AE44CD4A1}"/>
    <hyperlink ref="G187" r:id="rId40" xr:uid="{4153CCF4-2E22-47BB-A2C9-4540153B4DE0}"/>
    <hyperlink ref="G177" r:id="rId41" xr:uid="{43C8BABC-71DA-4F7C-B2B8-4699453F86A5}"/>
    <hyperlink ref="G42" r:id="rId42" xr:uid="{4CC5E914-3A7E-482D-A4FF-07D190DC776F}"/>
    <hyperlink ref="G35" r:id="rId43" xr:uid="{35E3F90D-ECE5-4BC7-86E9-2E4279075B45}"/>
    <hyperlink ref="G50" r:id="rId44" xr:uid="{67F8AC0A-7A11-4EEA-8F5A-8D54A1A92076}"/>
    <hyperlink ref="H50" r:id="rId45" xr:uid="{93D78DF0-1FF8-47C8-BEA2-D006870A9DCB}"/>
    <hyperlink ref="H35" r:id="rId46" xr:uid="{6EB72C99-EC72-464E-9C7F-7112621EFEFD}"/>
    <hyperlink ref="G54" r:id="rId47" xr:uid="{BC5CDFD2-CC38-4B7D-9727-B0681F0AE152}"/>
    <hyperlink ref="G64" r:id="rId48" xr:uid="{048ECC0C-1774-411C-A8EF-15C4334580E4}"/>
    <hyperlink ref="G89" r:id="rId49" xr:uid="{02E6F37B-CCC0-4DDE-8A8E-99129EA1C532}"/>
    <hyperlink ref="G78" r:id="rId50" xr:uid="{482D47E7-F932-4ADE-9193-4D5BA82E693D}"/>
    <hyperlink ref="G77" r:id="rId51" xr:uid="{BB788F11-E994-429F-AA78-398BF20A9D01}"/>
    <hyperlink ref="G109" r:id="rId52" xr:uid="{6308D36C-42AE-489E-A98D-7830C63BB75B}"/>
    <hyperlink ref="G112" r:id="rId53" xr:uid="{7CB1EE50-746A-4F24-8637-35FB74915628}"/>
    <hyperlink ref="G117" r:id="rId54" xr:uid="{D4310945-4BF4-4BCF-B54B-5A0DF57B54E0}"/>
    <hyperlink ref="G145" r:id="rId55" xr:uid="{B6A85501-830B-4304-A399-61D66323B8AD}"/>
    <hyperlink ref="G160" r:id="rId56" xr:uid="{92AAD91A-29EE-4382-8554-038372E5F215}"/>
    <hyperlink ref="G164" r:id="rId57" xr:uid="{6250F8A5-7373-4163-9E21-E1F5637DB68F}"/>
    <hyperlink ref="G61" r:id="rId58" xr:uid="{303D1837-028F-4485-A586-3796879F3CBC}"/>
    <hyperlink ref="G111" r:id="rId59" xr:uid="{F743F113-5E1A-47BB-ADC7-22A02AA8156E}"/>
    <hyperlink ref="G138" r:id="rId60" xr:uid="{B36AD85D-8CA7-4431-8B2B-9F903B578B75}"/>
    <hyperlink ref="G115" r:id="rId61" xr:uid="{8DEED13C-763E-408D-B6C8-1C5976D1245E}"/>
    <hyperlink ref="G103" r:id="rId62" xr:uid="{DD878D8F-A5E6-4E12-B188-91DDDB0A1933}"/>
    <hyperlink ref="G130" r:id="rId63" xr:uid="{9A69F972-47AB-4CAA-8007-CF76DE0F0F0E}"/>
    <hyperlink ref="G127" r:id="rId64" xr:uid="{8876ED99-55A6-47AB-8075-554E0F56F4A2}"/>
    <hyperlink ref="G141" r:id="rId65" xr:uid="{6643E649-CA07-4B44-B148-7AF5519BFB7B}"/>
    <hyperlink ref="G168" r:id="rId66" xr:uid="{640EA35F-56DD-4BE3-B9E2-6F4F253EF05C}"/>
    <hyperlink ref="G182" r:id="rId67" xr:uid="{8C57C967-C080-4302-AC44-F09E8AEA27FC}"/>
  </hyperlinks>
  <pageMargins left="0.82677165354330717" right="3.937007874015748E-2" top="0.35433070866141736" bottom="0.55118110236220474" header="0.31496062992125984" footer="0.31496062992125984"/>
  <pageSetup paperSize="9" scale="77" fitToHeight="2" orientation="portrait" r:id="rId68"/>
  <headerFooter alignWithMargins="0"/>
  <rowBreaks count="3" manualBreakCount="3">
    <brk id="94" max="16383" man="1"/>
    <brk id="95" max="16383" man="1"/>
    <brk id="96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DA9E-D22B-7E45-B025-D4DC51D62FFE}">
  <dimension ref="A1:A12"/>
  <sheetViews>
    <sheetView workbookViewId="0">
      <selection activeCell="C14" sqref="C14"/>
    </sheetView>
  </sheetViews>
  <sheetFormatPr baseColWidth="10" defaultRowHeight="13" x14ac:dyDescent="0.15"/>
  <sheetData>
    <row r="1" spans="1:1" x14ac:dyDescent="0.15">
      <c r="A1" t="s">
        <v>213</v>
      </c>
    </row>
    <row r="2" spans="1:1" x14ac:dyDescent="0.15">
      <c r="A2" t="s">
        <v>214</v>
      </c>
    </row>
    <row r="3" spans="1:1" x14ac:dyDescent="0.15">
      <c r="A3" t="s">
        <v>162</v>
      </c>
    </row>
    <row r="4" spans="1:1" x14ac:dyDescent="0.15">
      <c r="A4" t="s">
        <v>215</v>
      </c>
    </row>
    <row r="5" spans="1:1" x14ac:dyDescent="0.15">
      <c r="A5" t="s">
        <v>216</v>
      </c>
    </row>
    <row r="6" spans="1:1" x14ac:dyDescent="0.15">
      <c r="A6" t="s">
        <v>217</v>
      </c>
    </row>
    <row r="7" spans="1:1" x14ac:dyDescent="0.15">
      <c r="A7" t="s">
        <v>218</v>
      </c>
    </row>
    <row r="8" spans="1:1" x14ac:dyDescent="0.15">
      <c r="A8" t="s">
        <v>219</v>
      </c>
    </row>
    <row r="9" spans="1:1" x14ac:dyDescent="0.15">
      <c r="A9" t="s">
        <v>220</v>
      </c>
    </row>
    <row r="10" spans="1:1" x14ac:dyDescent="0.15">
      <c r="A10" t="s">
        <v>221</v>
      </c>
    </row>
    <row r="11" spans="1:1" x14ac:dyDescent="0.15">
      <c r="A11" t="s">
        <v>222</v>
      </c>
    </row>
    <row r="12" spans="1:1" x14ac:dyDescent="0.15">
      <c r="A12" t="s">
        <v>223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Feste</vt:lpstr>
      <vt:lpstr>Quellen</vt:lpstr>
      <vt:lpstr>Feste!Druckbereich</vt:lpstr>
    </vt:vector>
  </TitlesOfParts>
  <Company>COR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 Klotz</dc:creator>
  <cp:lastModifiedBy>Bernhard K</cp:lastModifiedBy>
  <cp:lastPrinted>2025-05-06T20:33:34Z</cp:lastPrinted>
  <dcterms:created xsi:type="dcterms:W3CDTF">2007-07-09T08:57:54Z</dcterms:created>
  <dcterms:modified xsi:type="dcterms:W3CDTF">2026-05-18T07:17:25Z</dcterms:modified>
</cp:coreProperties>
</file>